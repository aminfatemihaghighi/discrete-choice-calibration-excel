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T A T\Desktop\"/>
    </mc:Choice>
  </mc:AlternateContent>
  <xr:revisionPtr revIDLastSave="0" documentId="13_ncr:1_{C0AAE255-B6CC-4082-99BB-96C8668705A1}" xr6:coauthVersionLast="47" xr6:coauthVersionMax="47" xr10:uidLastSave="{00000000-0000-0000-0000-000000000000}"/>
  <bookViews>
    <workbookView xWindow="-108" yWindow="-108" windowWidth="23256" windowHeight="13896" xr2:uid="{AAFBB79F-CAE0-46EB-BF6B-58642C635BD9}"/>
  </bookViews>
  <sheets>
    <sheet name="Calibration" sheetId="2" r:id="rId1"/>
  </sheets>
  <definedNames>
    <definedName name="solver_adj" localSheetId="0" hidden="1">Calibration!$B$3:$H$3</definedName>
    <definedName name="solver_cvg" localSheetId="0" hidden="1">0.0001</definedName>
    <definedName name="solver_drv" localSheetId="0" hidden="1">1</definedName>
    <definedName name="solver_eng" localSheetId="0" hidden="1">1</definedName>
    <definedName name="solver_est" localSheetId="0" hidden="1">1</definedName>
    <definedName name="solver_itr" localSheetId="0" hidden="1">10000</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2</definedName>
    <definedName name="solver_nod" localSheetId="0" hidden="1">2147483647</definedName>
    <definedName name="solver_num" localSheetId="0" hidden="1">0</definedName>
    <definedName name="solver_nwt" localSheetId="0" hidden="1">1</definedName>
    <definedName name="solver_opt" localSheetId="0" hidden="1">Calibration!$Q$4</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10000</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L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M37" i="2" s="1"/>
  <c r="K38" i="2"/>
  <c r="K39" i="2"/>
  <c r="K40" i="2"/>
  <c r="K41" i="2"/>
  <c r="K42" i="2"/>
  <c r="K43" i="2"/>
  <c r="K44" i="2"/>
  <c r="K45" i="2"/>
  <c r="K46" i="2"/>
  <c r="K47" i="2"/>
  <c r="K48" i="2"/>
  <c r="K49" i="2"/>
  <c r="M49" i="2" s="1"/>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M85" i="2" s="1"/>
  <c r="K86" i="2"/>
  <c r="K87" i="2"/>
  <c r="K88" i="2"/>
  <c r="K89" i="2"/>
  <c r="K90" i="2"/>
  <c r="K91" i="2"/>
  <c r="K92" i="2"/>
  <c r="K93" i="2"/>
  <c r="K94" i="2"/>
  <c r="K95" i="2"/>
  <c r="K96" i="2"/>
  <c r="K97" i="2"/>
  <c r="N97" i="2" s="1"/>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M133" i="2" s="1"/>
  <c r="K134" i="2"/>
  <c r="K135" i="2"/>
  <c r="K136" i="2"/>
  <c r="K137" i="2"/>
  <c r="K138" i="2"/>
  <c r="K139" i="2"/>
  <c r="K140" i="2"/>
  <c r="K141" i="2"/>
  <c r="K142" i="2"/>
  <c r="K143" i="2"/>
  <c r="K144" i="2"/>
  <c r="K145" i="2"/>
  <c r="M145" i="2" s="1"/>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N181" i="2" s="1"/>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M217" i="2" s="1"/>
  <c r="K218" i="2"/>
  <c r="K219" i="2"/>
  <c r="K220" i="2"/>
  <c r="K221" i="2"/>
  <c r="K222" i="2"/>
  <c r="K223" i="2"/>
  <c r="K224" i="2"/>
  <c r="K225" i="2"/>
  <c r="K226" i="2"/>
  <c r="K227" i="2"/>
  <c r="K228" i="2"/>
  <c r="K229" i="2"/>
  <c r="M229" i="2" s="1"/>
  <c r="K230" i="2"/>
  <c r="K231" i="2"/>
  <c r="K232" i="2"/>
  <c r="K233" i="2"/>
  <c r="K234" i="2"/>
  <c r="K235" i="2"/>
  <c r="K236" i="2"/>
  <c r="K237" i="2"/>
  <c r="K238" i="2"/>
  <c r="K239" i="2"/>
  <c r="K240" i="2"/>
  <c r="K241" i="2"/>
  <c r="K242" i="2"/>
  <c r="K243" i="2"/>
  <c r="K244" i="2"/>
  <c r="K245" i="2"/>
  <c r="K246" i="2"/>
  <c r="K247" i="2"/>
  <c r="K248" i="2"/>
  <c r="K249" i="2"/>
  <c r="K250" i="2"/>
  <c r="K251" i="2"/>
  <c r="K252" i="2"/>
  <c r="K253" i="2"/>
  <c r="M253" i="2" s="1"/>
  <c r="K254" i="2"/>
  <c r="K255" i="2"/>
  <c r="K256" i="2"/>
  <c r="K257" i="2"/>
  <c r="K258" i="2"/>
  <c r="K259" i="2"/>
  <c r="K260" i="2"/>
  <c r="K261" i="2"/>
  <c r="K262" i="2"/>
  <c r="K263" i="2"/>
  <c r="K264" i="2"/>
  <c r="K265" i="2"/>
  <c r="M265" i="2" s="1"/>
  <c r="K266" i="2"/>
  <c r="K267" i="2"/>
  <c r="K268" i="2"/>
  <c r="K269" i="2"/>
  <c r="K270" i="2"/>
  <c r="K271" i="2"/>
  <c r="K272" i="2"/>
  <c r="K273" i="2"/>
  <c r="K274" i="2"/>
  <c r="K275" i="2"/>
  <c r="K276" i="2"/>
  <c r="K277" i="2"/>
  <c r="M277" i="2" s="1"/>
  <c r="K278" i="2"/>
  <c r="K279" i="2"/>
  <c r="K280" i="2"/>
  <c r="K281" i="2"/>
  <c r="K282" i="2"/>
  <c r="K283" i="2"/>
  <c r="K284" i="2"/>
  <c r="K285" i="2"/>
  <c r="K286" i="2"/>
  <c r="K287" i="2"/>
  <c r="K288" i="2"/>
  <c r="K289" i="2"/>
  <c r="M289" i="2" s="1"/>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M325" i="2" s="1"/>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M385" i="2" s="1"/>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M421" i="2" s="1"/>
  <c r="K422" i="2"/>
  <c r="K423" i="2"/>
  <c r="K424" i="2"/>
  <c r="K425" i="2"/>
  <c r="K426" i="2"/>
  <c r="K427" i="2"/>
  <c r="K428" i="2"/>
  <c r="K429" i="2"/>
  <c r="K430" i="2"/>
  <c r="K431" i="2"/>
  <c r="K432" i="2"/>
  <c r="K433" i="2"/>
  <c r="M433" i="2" s="1"/>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M469" i="2" s="1"/>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N517" i="2" s="1"/>
  <c r="K518" i="2"/>
  <c r="K519" i="2"/>
  <c r="K520" i="2"/>
  <c r="K521" i="2"/>
  <c r="K522" i="2"/>
  <c r="K523" i="2"/>
  <c r="K524" i="2"/>
  <c r="K525" i="2"/>
  <c r="K526" i="2"/>
  <c r="K527" i="2"/>
  <c r="K528" i="2"/>
  <c r="K529" i="2"/>
  <c r="M529" i="2" s="1"/>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M565" i="2" s="1"/>
  <c r="K566" i="2"/>
  <c r="K567" i="2"/>
  <c r="K568" i="2"/>
  <c r="K569" i="2"/>
  <c r="K570" i="2"/>
  <c r="K571" i="2"/>
  <c r="K572" i="2"/>
  <c r="K573" i="2"/>
  <c r="K574" i="2"/>
  <c r="K575" i="2"/>
  <c r="K576" i="2"/>
  <c r="K577" i="2"/>
  <c r="K578" i="2"/>
  <c r="K579" i="2"/>
  <c r="K580" i="2"/>
  <c r="K581" i="2"/>
  <c r="K582" i="2"/>
  <c r="K583" i="2"/>
  <c r="K584" i="2"/>
  <c r="K585" i="2"/>
  <c r="K586" i="2"/>
  <c r="K587" i="2"/>
  <c r="K588" i="2"/>
  <c r="K589" i="2"/>
  <c r="M589" i="2" s="1"/>
  <c r="K590" i="2"/>
  <c r="K591" i="2"/>
  <c r="K592" i="2"/>
  <c r="K593" i="2"/>
  <c r="K594" i="2"/>
  <c r="K595" i="2"/>
  <c r="K596" i="2"/>
  <c r="K597" i="2"/>
  <c r="K598" i="2"/>
  <c r="K599" i="2"/>
  <c r="K600" i="2"/>
  <c r="K601" i="2"/>
  <c r="K602" i="2"/>
  <c r="K603" i="2"/>
  <c r="K604" i="2"/>
  <c r="K605" i="2"/>
  <c r="K606" i="2"/>
  <c r="K607" i="2"/>
  <c r="K608" i="2"/>
  <c r="K609" i="2"/>
  <c r="K610" i="2"/>
  <c r="K611" i="2"/>
  <c r="K612" i="2"/>
  <c r="K613" i="2"/>
  <c r="M613" i="2" s="1"/>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M673" i="2" s="1"/>
  <c r="K674" i="2"/>
  <c r="K675" i="2"/>
  <c r="K676" i="2"/>
  <c r="K677" i="2"/>
  <c r="K678" i="2"/>
  <c r="K679" i="2"/>
  <c r="K680" i="2"/>
  <c r="K681" i="2"/>
  <c r="K682" i="2"/>
  <c r="K683" i="2"/>
  <c r="K684" i="2"/>
  <c r="K685" i="2"/>
  <c r="K686" i="2"/>
  <c r="K687" i="2"/>
  <c r="K688" i="2"/>
  <c r="K689" i="2"/>
  <c r="K690" i="2"/>
  <c r="K691" i="2"/>
  <c r="K692" i="2"/>
  <c r="K693" i="2"/>
  <c r="K694" i="2"/>
  <c r="K695" i="2"/>
  <c r="K696" i="2"/>
  <c r="K697" i="2"/>
  <c r="M697" i="2" s="1"/>
  <c r="K698" i="2"/>
  <c r="K699" i="2"/>
  <c r="K700" i="2"/>
  <c r="K701" i="2"/>
  <c r="K702" i="2"/>
  <c r="K703" i="2"/>
  <c r="K704" i="2"/>
  <c r="K705" i="2"/>
  <c r="K706" i="2"/>
  <c r="K707" i="2"/>
  <c r="K708" i="2"/>
  <c r="K709" i="2"/>
  <c r="M709" i="2" s="1"/>
  <c r="K710" i="2"/>
  <c r="K711" i="2"/>
  <c r="K712" i="2"/>
  <c r="K713" i="2"/>
  <c r="K714" i="2"/>
  <c r="K715" i="2"/>
  <c r="K716" i="2"/>
  <c r="K717" i="2"/>
  <c r="K718" i="2"/>
  <c r="K719" i="2"/>
  <c r="K720" i="2"/>
  <c r="K721" i="2"/>
  <c r="N721" i="2" s="1"/>
  <c r="K722" i="2"/>
  <c r="K723" i="2"/>
  <c r="K724" i="2"/>
  <c r="K725" i="2"/>
  <c r="K726" i="2"/>
  <c r="K727" i="2"/>
  <c r="K728" i="2"/>
  <c r="K729" i="2"/>
  <c r="K730" i="2"/>
  <c r="K731" i="2"/>
  <c r="K732" i="2"/>
  <c r="K733" i="2"/>
  <c r="K734" i="2"/>
  <c r="K735" i="2"/>
  <c r="K736" i="2"/>
  <c r="K737" i="2"/>
  <c r="K738" i="2"/>
  <c r="K739" i="2"/>
  <c r="K740" i="2"/>
  <c r="K741" i="2"/>
  <c r="K742" i="2"/>
  <c r="K743" i="2"/>
  <c r="K744" i="2"/>
  <c r="K745" i="2"/>
  <c r="M745" i="2" s="1"/>
  <c r="K746" i="2"/>
  <c r="K747" i="2"/>
  <c r="K748" i="2"/>
  <c r="K749" i="2"/>
  <c r="K750" i="2"/>
  <c r="K751" i="2"/>
  <c r="K752" i="2"/>
  <c r="K753" i="2"/>
  <c r="K754" i="2"/>
  <c r="K755" i="2"/>
  <c r="K756" i="2"/>
  <c r="K757" i="2"/>
  <c r="M757" i="2" s="1"/>
  <c r="K758" i="2"/>
  <c r="K759" i="2"/>
  <c r="K760" i="2"/>
  <c r="K761" i="2"/>
  <c r="K762" i="2"/>
  <c r="K763" i="2"/>
  <c r="K764" i="2"/>
  <c r="K765" i="2"/>
  <c r="K766" i="2"/>
  <c r="K767" i="2"/>
  <c r="K768" i="2"/>
  <c r="K769" i="2"/>
  <c r="N769" i="2" s="1"/>
  <c r="K770" i="2"/>
  <c r="K771" i="2"/>
  <c r="K772" i="2"/>
  <c r="K773" i="2"/>
  <c r="K774" i="2"/>
  <c r="K775" i="2"/>
  <c r="K776" i="2"/>
  <c r="K777" i="2"/>
  <c r="K778" i="2"/>
  <c r="K779" i="2"/>
  <c r="K780" i="2"/>
  <c r="K781" i="2"/>
  <c r="M781" i="2" s="1"/>
  <c r="K782" i="2"/>
  <c r="K783" i="2"/>
  <c r="K784" i="2"/>
  <c r="K785" i="2"/>
  <c r="K786" i="2"/>
  <c r="K787" i="2"/>
  <c r="K788" i="2"/>
  <c r="K789" i="2"/>
  <c r="K790" i="2"/>
  <c r="K791" i="2"/>
  <c r="K792" i="2"/>
  <c r="K793" i="2"/>
  <c r="K794" i="2"/>
  <c r="K795" i="2"/>
  <c r="K796" i="2"/>
  <c r="K797" i="2"/>
  <c r="K798" i="2"/>
  <c r="K799" i="2"/>
  <c r="K800" i="2"/>
  <c r="K801" i="2"/>
  <c r="K802" i="2"/>
  <c r="K803" i="2"/>
  <c r="K804" i="2"/>
  <c r="K805" i="2"/>
  <c r="N805" i="2" s="1"/>
  <c r="K806" i="2"/>
  <c r="K807" i="2"/>
  <c r="K808" i="2"/>
  <c r="K809" i="2"/>
  <c r="K810" i="2"/>
  <c r="K811" i="2"/>
  <c r="K812" i="2"/>
  <c r="K813" i="2"/>
  <c r="K814" i="2"/>
  <c r="K815" i="2"/>
  <c r="K816" i="2"/>
  <c r="K817" i="2"/>
  <c r="M817" i="2" s="1"/>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M901" i="2" s="1"/>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N949" i="2" s="1"/>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M997" i="2" s="1"/>
  <c r="K998" i="2"/>
  <c r="K999" i="2"/>
  <c r="K1000" i="2"/>
  <c r="K1001" i="2"/>
  <c r="K1002" i="2"/>
  <c r="K1003" i="2"/>
  <c r="K1004" i="2"/>
  <c r="M337" i="2"/>
  <c r="M349" i="2"/>
  <c r="M637" i="2"/>
  <c r="N925" i="2"/>
  <c r="M961"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N13" i="2"/>
  <c r="M61" i="2"/>
  <c r="N121" i="2"/>
  <c r="M157" i="2"/>
  <c r="M169" i="2"/>
  <c r="M205" i="2"/>
  <c r="N313" i="2"/>
  <c r="N361" i="2"/>
  <c r="M409" i="2"/>
  <c r="M445" i="2"/>
  <c r="M457" i="2"/>
  <c r="M553" i="2"/>
  <c r="M577" i="2"/>
  <c r="N601" i="2"/>
  <c r="M685" i="2"/>
  <c r="M793" i="2"/>
  <c r="M841" i="2"/>
  <c r="M889" i="2"/>
  <c r="M937" i="2"/>
  <c r="M973" i="2"/>
  <c r="M985" i="2"/>
  <c r="K5" i="2"/>
  <c r="M163" i="2" l="1"/>
  <c r="M151" i="2"/>
  <c r="M139" i="2"/>
  <c r="M463" i="2"/>
  <c r="M295" i="2"/>
  <c r="M487" i="2"/>
  <c r="M475" i="2"/>
  <c r="M451" i="2"/>
  <c r="M439" i="2"/>
  <c r="M415" i="2"/>
  <c r="M403" i="2"/>
  <c r="M355" i="2"/>
  <c r="M307" i="2"/>
  <c r="M283" i="2"/>
  <c r="M259" i="2"/>
  <c r="M235" i="2"/>
  <c r="M199" i="2"/>
  <c r="M115" i="2"/>
  <c r="M79" i="2"/>
  <c r="N819" i="2"/>
  <c r="M930" i="2"/>
  <c r="M894" i="2"/>
  <c r="M774" i="2"/>
  <c r="M726" i="2"/>
  <c r="M690" i="2"/>
  <c r="M606" i="2"/>
  <c r="M558" i="2"/>
  <c r="M534" i="2"/>
  <c r="M498" i="2"/>
  <c r="M474" i="2"/>
  <c r="M438" i="2"/>
  <c r="M426" i="2"/>
  <c r="M414" i="2"/>
  <c r="M390" i="2"/>
  <c r="M354" i="2"/>
  <c r="M330" i="2"/>
  <c r="M270" i="2"/>
  <c r="M246" i="2"/>
  <c r="M198" i="2"/>
  <c r="M174" i="2"/>
  <c r="M114" i="2"/>
  <c r="M102" i="2"/>
  <c r="M78" i="2"/>
  <c r="M54" i="2"/>
  <c r="M18" i="2"/>
  <c r="M990" i="2"/>
  <c r="M954" i="2"/>
  <c r="M834" i="2"/>
  <c r="M786" i="2"/>
  <c r="M678" i="2"/>
  <c r="M966" i="2"/>
  <c r="M858" i="2"/>
  <c r="M702" i="2"/>
  <c r="M570" i="2"/>
  <c r="M993" i="2"/>
  <c r="M849" i="2"/>
  <c r="M693" i="2"/>
  <c r="M573" i="2"/>
  <c r="N513" i="2"/>
  <c r="N477" i="2"/>
  <c r="M285" i="2"/>
  <c r="M165" i="2"/>
  <c r="M93" i="2"/>
  <c r="M9" i="2"/>
  <c r="M969" i="2"/>
  <c r="M909" i="2"/>
  <c r="M777" i="2"/>
  <c r="M705" i="2"/>
  <c r="M489" i="2"/>
  <c r="M441" i="2"/>
  <c r="N818" i="2"/>
  <c r="N686" i="2"/>
  <c r="M302" i="2"/>
  <c r="M134" i="2"/>
  <c r="N457" i="2"/>
  <c r="O457" i="2" s="1"/>
  <c r="N899" i="2"/>
  <c r="N455" i="2"/>
  <c r="M383" i="2"/>
  <c r="N638" i="2"/>
  <c r="M242" i="2"/>
  <c r="N646" i="2"/>
  <c r="N634" i="2"/>
  <c r="N622" i="2"/>
  <c r="N610" i="2"/>
  <c r="N598" i="2"/>
  <c r="N586" i="2"/>
  <c r="N574" i="2"/>
  <c r="N562" i="2"/>
  <c r="N550" i="2"/>
  <c r="N538" i="2"/>
  <c r="N526" i="2"/>
  <c r="N514" i="2"/>
  <c r="N502" i="2"/>
  <c r="N490" i="2"/>
  <c r="N478" i="2"/>
  <c r="N466" i="2"/>
  <c r="N454" i="2"/>
  <c r="N442" i="2"/>
  <c r="N430" i="2"/>
  <c r="N418" i="2"/>
  <c r="N406" i="2"/>
  <c r="N394" i="2"/>
  <c r="N382" i="2"/>
  <c r="N370" i="2"/>
  <c r="N358" i="2"/>
  <c r="N346" i="2"/>
  <c r="N334" i="2"/>
  <c r="N322" i="2"/>
  <c r="N310" i="2"/>
  <c r="N298" i="2"/>
  <c r="N286" i="2"/>
  <c r="N274" i="2"/>
  <c r="N262" i="2"/>
  <c r="N250" i="2"/>
  <c r="N238" i="2"/>
  <c r="N226" i="2"/>
  <c r="N214" i="2"/>
  <c r="N202" i="2"/>
  <c r="N190" i="2"/>
  <c r="N178" i="2"/>
  <c r="N166" i="2"/>
  <c r="N154" i="2"/>
  <c r="N142" i="2"/>
  <c r="N130" i="2"/>
  <c r="N118" i="2"/>
  <c r="N70" i="2"/>
  <c r="N58" i="2"/>
  <c r="N34" i="2"/>
  <c r="N10" i="2"/>
  <c r="N662" i="2"/>
  <c r="M225" i="2"/>
  <c r="N674" i="2"/>
  <c r="N458" i="2"/>
  <c r="M230" i="2"/>
  <c r="M968" i="2"/>
  <c r="M812" i="2"/>
  <c r="M988" i="2"/>
  <c r="M832" i="2"/>
  <c r="M640" i="2"/>
  <c r="M496" i="2"/>
  <c r="M388" i="2"/>
  <c r="M340" i="2"/>
  <c r="M316" i="2"/>
  <c r="M244" i="2"/>
  <c r="M124" i="2"/>
  <c r="M52" i="2"/>
  <c r="M952" i="2"/>
  <c r="M748" i="2"/>
  <c r="M664" i="2"/>
  <c r="M472" i="2"/>
  <c r="M974" i="2"/>
  <c r="M962" i="2"/>
  <c r="M950" i="2"/>
  <c r="M938" i="2"/>
  <c r="M926" i="2"/>
  <c r="M902" i="2"/>
  <c r="M890" i="2"/>
  <c r="M878" i="2"/>
  <c r="M866" i="2"/>
  <c r="M854" i="2"/>
  <c r="M770" i="2"/>
  <c r="M638" i="2"/>
  <c r="M614" i="2"/>
  <c r="M590" i="2"/>
  <c r="M578" i="2"/>
  <c r="M518" i="2"/>
  <c r="M482" i="2"/>
  <c r="M470" i="2"/>
  <c r="M458" i="2"/>
  <c r="O458" i="2" s="1"/>
  <c r="M422" i="2"/>
  <c r="M410" i="2"/>
  <c r="M398" i="2"/>
  <c r="M386" i="2"/>
  <c r="M338" i="2"/>
  <c r="M278" i="2"/>
  <c r="M266" i="2"/>
  <c r="M254" i="2"/>
  <c r="M194" i="2"/>
  <c r="M158" i="2"/>
  <c r="M122" i="2"/>
  <c r="M110" i="2"/>
  <c r="M98" i="2"/>
  <c r="M86" i="2"/>
  <c r="M62" i="2"/>
  <c r="M26" i="2"/>
  <c r="N989" i="2"/>
  <c r="N965" i="2"/>
  <c r="M953" i="2"/>
  <c r="M929" i="2"/>
  <c r="M893" i="2"/>
  <c r="M869" i="2"/>
  <c r="N833" i="2"/>
  <c r="M809" i="2"/>
  <c r="N797" i="2"/>
  <c r="M749" i="2"/>
  <c r="M725" i="2"/>
  <c r="M665" i="2"/>
  <c r="M629" i="2"/>
  <c r="M605" i="2"/>
  <c r="M593" i="2"/>
  <c r="N581" i="2"/>
  <c r="M521" i="2"/>
  <c r="M497" i="2"/>
  <c r="N473" i="2"/>
  <c r="M461" i="2"/>
  <c r="M377" i="2"/>
  <c r="N341" i="2"/>
  <c r="M329" i="2"/>
  <c r="N317" i="2"/>
  <c r="M281" i="2"/>
  <c r="M221" i="2"/>
  <c r="N197" i="2"/>
  <c r="M185" i="2"/>
  <c r="M161" i="2"/>
  <c r="M149" i="2"/>
  <c r="M125" i="2"/>
  <c r="M89" i="2"/>
  <c r="M41" i="2"/>
  <c r="M17" i="2"/>
  <c r="M999" i="2"/>
  <c r="M960" i="2"/>
  <c r="M900" i="2"/>
  <c r="M840" i="2"/>
  <c r="M780" i="2"/>
  <c r="N768" i="2"/>
  <c r="M708" i="2"/>
  <c r="M672" i="2"/>
  <c r="M600" i="2"/>
  <c r="N564" i="2"/>
  <c r="M528" i="2"/>
  <c r="N504" i="2"/>
  <c r="M456" i="2"/>
  <c r="M420" i="2"/>
  <c r="N408" i="2"/>
  <c r="N372" i="2"/>
  <c r="M336" i="2"/>
  <c r="M276" i="2"/>
  <c r="M252" i="2"/>
  <c r="M228" i="2"/>
  <c r="M216" i="2"/>
  <c r="M180" i="2"/>
  <c r="N168" i="2"/>
  <c r="M156" i="2"/>
  <c r="M132" i="2"/>
  <c r="M120" i="2"/>
  <c r="M108" i="2"/>
  <c r="M96" i="2"/>
  <c r="M84" i="2"/>
  <c r="M72" i="2"/>
  <c r="M60" i="2"/>
  <c r="M48" i="2"/>
  <c r="M36" i="2"/>
  <c r="N24" i="2"/>
  <c r="M12" i="2"/>
  <c r="M972" i="2"/>
  <c r="M924" i="2"/>
  <c r="M888" i="2"/>
  <c r="M828" i="2"/>
  <c r="N804" i="2"/>
  <c r="M744" i="2"/>
  <c r="M696" i="2"/>
  <c r="M660" i="2"/>
  <c r="M588" i="2"/>
  <c r="M540" i="2"/>
  <c r="M480" i="2"/>
  <c r="M444" i="2"/>
  <c r="M396" i="2"/>
  <c r="M348" i="2"/>
  <c r="M300" i="2"/>
  <c r="M264" i="2"/>
  <c r="M240" i="2"/>
  <c r="M144" i="2"/>
  <c r="N984" i="2"/>
  <c r="M936" i="2"/>
  <c r="N912" i="2"/>
  <c r="M864" i="2"/>
  <c r="M816" i="2"/>
  <c r="M732" i="2"/>
  <c r="M684" i="2"/>
  <c r="M636" i="2"/>
  <c r="N624" i="2"/>
  <c r="M552" i="2"/>
  <c r="M492" i="2"/>
  <c r="M432" i="2"/>
  <c r="M384" i="2"/>
  <c r="M324" i="2"/>
  <c r="N288" i="2"/>
  <c r="M192" i="2"/>
  <c r="M5" i="2"/>
  <c r="N785" i="2"/>
  <c r="M785" i="2"/>
  <c r="N992" i="2"/>
  <c r="N980" i="2"/>
  <c r="N968" i="2"/>
  <c r="N956" i="2"/>
  <c r="N944" i="2"/>
  <c r="N932" i="2"/>
  <c r="N920" i="2"/>
  <c r="N908" i="2"/>
  <c r="N884" i="2"/>
  <c r="N872" i="2"/>
  <c r="M659" i="2"/>
  <c r="N1004" i="2"/>
  <c r="N967" i="2"/>
  <c r="N907" i="2"/>
  <c r="N835" i="2"/>
  <c r="N799" i="2"/>
  <c r="N751" i="2"/>
  <c r="N643" i="2"/>
  <c r="N583" i="2"/>
  <c r="N547" i="2"/>
  <c r="N499" i="2"/>
  <c r="M842" i="2"/>
  <c r="M830" i="2"/>
  <c r="M818" i="2"/>
  <c r="M806" i="2"/>
  <c r="M794" i="2"/>
  <c r="M782" i="2"/>
  <c r="N758" i="2"/>
  <c r="M746" i="2"/>
  <c r="M734" i="2"/>
  <c r="M722" i="2"/>
  <c r="M710" i="2"/>
  <c r="M686" i="2"/>
  <c r="M662" i="2"/>
  <c r="N836" i="2"/>
  <c r="N752" i="2"/>
  <c r="N680" i="2"/>
  <c r="N584" i="2"/>
  <c r="N488" i="2"/>
  <c r="N404" i="2"/>
  <c r="N308" i="2"/>
  <c r="N895" i="2"/>
  <c r="N727" i="2"/>
  <c r="N800" i="2"/>
  <c r="N716" i="2"/>
  <c r="N608" i="2"/>
  <c r="N524" i="2"/>
  <c r="N428" i="2"/>
  <c r="N332" i="2"/>
  <c r="M859" i="2"/>
  <c r="N667" i="2"/>
  <c r="N860" i="2"/>
  <c r="N764" i="2"/>
  <c r="N668" i="2"/>
  <c r="N560" i="2"/>
  <c r="N476" i="2"/>
  <c r="N380" i="2"/>
  <c r="N991" i="2"/>
  <c r="N871" i="2"/>
  <c r="N703" i="2"/>
  <c r="M923" i="2"/>
  <c r="M851" i="2"/>
  <c r="M575" i="2"/>
  <c r="M467" i="2"/>
  <c r="M299" i="2"/>
  <c r="M215" i="2"/>
  <c r="M107" i="2"/>
  <c r="N35" i="2"/>
  <c r="N626" i="2"/>
  <c r="N614" i="2"/>
  <c r="N602" i="2"/>
  <c r="N590" i="2"/>
  <c r="N578" i="2"/>
  <c r="N566" i="2"/>
  <c r="N554" i="2"/>
  <c r="N542" i="2"/>
  <c r="N530" i="2"/>
  <c r="N518" i="2"/>
  <c r="N506" i="2"/>
  <c r="N482" i="2"/>
  <c r="N470" i="2"/>
  <c r="N434" i="2"/>
  <c r="N422" i="2"/>
  <c r="N410" i="2"/>
  <c r="N398" i="2"/>
  <c r="N386" i="2"/>
  <c r="N374" i="2"/>
  <c r="N362" i="2"/>
  <c r="N350" i="2"/>
  <c r="N338" i="2"/>
  <c r="M326" i="2"/>
  <c r="N326" i="2"/>
  <c r="N314" i="2"/>
  <c r="N302" i="2"/>
  <c r="N290" i="2"/>
  <c r="N182" i="2"/>
  <c r="N134" i="2"/>
  <c r="N62" i="2"/>
  <c r="N788" i="2"/>
  <c r="N692" i="2"/>
  <c r="N596" i="2"/>
  <c r="N500" i="2"/>
  <c r="N392" i="2"/>
  <c r="N1003" i="2"/>
  <c r="N847" i="2"/>
  <c r="N679" i="2"/>
  <c r="M947" i="2"/>
  <c r="M875" i="2"/>
  <c r="M731" i="2"/>
  <c r="M491" i="2"/>
  <c r="M167" i="2"/>
  <c r="M95" i="2"/>
  <c r="M23" i="2"/>
  <c r="N896" i="2"/>
  <c r="N848" i="2"/>
  <c r="N824" i="2"/>
  <c r="N812" i="2"/>
  <c r="N776" i="2"/>
  <c r="N740" i="2"/>
  <c r="N728" i="2"/>
  <c r="N704" i="2"/>
  <c r="N656" i="2"/>
  <c r="N632" i="2"/>
  <c r="N620" i="2"/>
  <c r="N572" i="2"/>
  <c r="N548" i="2"/>
  <c r="N536" i="2"/>
  <c r="N512" i="2"/>
  <c r="N464" i="2"/>
  <c r="N452" i="2"/>
  <c r="N440" i="2"/>
  <c r="N416" i="2"/>
  <c r="N368" i="2"/>
  <c r="N356" i="2"/>
  <c r="N344" i="2"/>
  <c r="N320" i="2"/>
  <c r="N296" i="2"/>
  <c r="N284" i="2"/>
  <c r="N272" i="2"/>
  <c r="N260" i="2"/>
  <c r="N248" i="2"/>
  <c r="N236" i="2"/>
  <c r="N212" i="2"/>
  <c r="N200" i="2"/>
  <c r="N188" i="2"/>
  <c r="N979" i="2"/>
  <c r="N943" i="2"/>
  <c r="N931" i="2"/>
  <c r="N919" i="2"/>
  <c r="N883" i="2"/>
  <c r="N823" i="2"/>
  <c r="N811" i="2"/>
  <c r="N787" i="2"/>
  <c r="N775" i="2"/>
  <c r="N763" i="2"/>
  <c r="N739" i="2"/>
  <c r="N715" i="2"/>
  <c r="N655" i="2"/>
  <c r="N619" i="2"/>
  <c r="N595" i="2"/>
  <c r="N571" i="2"/>
  <c r="N559" i="2"/>
  <c r="N535" i="2"/>
  <c r="N523" i="2"/>
  <c r="N511" i="2"/>
  <c r="M983" i="2"/>
  <c r="M935" i="2"/>
  <c r="M911" i="2"/>
  <c r="M815" i="2"/>
  <c r="M743" i="2"/>
  <c r="M707" i="2"/>
  <c r="M647" i="2"/>
  <c r="M599" i="2"/>
  <c r="M563" i="2"/>
  <c r="M323" i="2"/>
  <c r="M287" i="2"/>
  <c r="M275" i="2"/>
  <c r="M251" i="2"/>
  <c r="M155" i="2"/>
  <c r="M131" i="2"/>
  <c r="M71" i="2"/>
  <c r="N890" i="2"/>
  <c r="M22" i="2"/>
  <c r="N156" i="2"/>
  <c r="N108" i="2"/>
  <c r="N993" i="2"/>
  <c r="N981" i="2"/>
  <c r="N969" i="2"/>
  <c r="N945" i="2"/>
  <c r="N933" i="2"/>
  <c r="N921" i="2"/>
  <c r="N909" i="2"/>
  <c r="N873" i="2"/>
  <c r="N861" i="2"/>
  <c r="N849" i="2"/>
  <c r="N837" i="2"/>
  <c r="N825" i="2"/>
  <c r="N813" i="2"/>
  <c r="N801" i="2"/>
  <c r="N789" i="2"/>
  <c r="N777" i="2"/>
  <c r="N765" i="2"/>
  <c r="N717" i="2"/>
  <c r="N705" i="2"/>
  <c r="N693" i="2"/>
  <c r="N681" i="2"/>
  <c r="N669" i="2"/>
  <c r="N657" i="2"/>
  <c r="N645" i="2"/>
  <c r="N633" i="2"/>
  <c r="N621" i="2"/>
  <c r="N609" i="2"/>
  <c r="N585" i="2"/>
  <c r="N573" i="2"/>
  <c r="N561" i="2"/>
  <c r="N549" i="2"/>
  <c r="N537" i="2"/>
  <c r="N501" i="2"/>
  <c r="N489" i="2"/>
  <c r="M477" i="2"/>
  <c r="N465" i="2"/>
  <c r="N453" i="2"/>
  <c r="N441" i="2"/>
  <c r="N417" i="2"/>
  <c r="N405" i="2"/>
  <c r="N393" i="2"/>
  <c r="N381" i="2"/>
  <c r="N369" i="2"/>
  <c r="N357" i="2"/>
  <c r="N333" i="2"/>
  <c r="N321" i="2"/>
  <c r="N297" i="2"/>
  <c r="N285" i="2"/>
  <c r="N261" i="2"/>
  <c r="N249" i="2"/>
  <c r="N237" i="2"/>
  <c r="N225" i="2"/>
  <c r="N213" i="2"/>
  <c r="N189" i="2"/>
  <c r="N177" i="2"/>
  <c r="N165" i="2"/>
  <c r="N141" i="2"/>
  <c r="N129" i="2"/>
  <c r="N117" i="2"/>
  <c r="N105" i="2"/>
  <c r="N93" i="2"/>
  <c r="N81" i="2"/>
  <c r="N69" i="2"/>
  <c r="N57" i="2"/>
  <c r="N45" i="2"/>
  <c r="N33" i="2"/>
  <c r="N9" i="2"/>
  <c r="N176" i="2"/>
  <c r="N164" i="2"/>
  <c r="N152" i="2"/>
  <c r="N140" i="2"/>
  <c r="N128" i="2"/>
  <c r="N116" i="2"/>
  <c r="N104" i="2"/>
  <c r="N92" i="2"/>
  <c r="N80" i="2"/>
  <c r="N56" i="2"/>
  <c r="N44" i="2"/>
  <c r="N32" i="2"/>
  <c r="N20" i="2"/>
  <c r="N8" i="2"/>
  <c r="M987" i="2"/>
  <c r="M975" i="2"/>
  <c r="M963" i="2"/>
  <c r="M951" i="2"/>
  <c r="M939" i="2"/>
  <c r="M927" i="2"/>
  <c r="M915" i="2"/>
  <c r="M903" i="2"/>
  <c r="M891" i="2"/>
  <c r="M879" i="2"/>
  <c r="M867" i="2"/>
  <c r="M855" i="2"/>
  <c r="M843" i="2"/>
  <c r="M831" i="2"/>
  <c r="M819" i="2"/>
  <c r="O819" i="2" s="1"/>
  <c r="M807" i="2"/>
  <c r="M795" i="2"/>
  <c r="M783" i="2"/>
  <c r="M771" i="2"/>
  <c r="M759" i="2"/>
  <c r="M747" i="2"/>
  <c r="M735" i="2"/>
  <c r="M723" i="2"/>
  <c r="M711" i="2"/>
  <c r="M699" i="2"/>
  <c r="M687" i="2"/>
  <c r="M675" i="2"/>
  <c r="M663" i="2"/>
  <c r="M651" i="2"/>
  <c r="M639" i="2"/>
  <c r="M627" i="2"/>
  <c r="M615" i="2"/>
  <c r="M603" i="2"/>
  <c r="M591" i="2"/>
  <c r="M579" i="2"/>
  <c r="M567" i="2"/>
  <c r="M555" i="2"/>
  <c r="M543" i="2"/>
  <c r="M531" i="2"/>
  <c r="M519" i="2"/>
  <c r="M507" i="2"/>
  <c r="M495" i="2"/>
  <c r="M483" i="2"/>
  <c r="M471" i="2"/>
  <c r="M459" i="2"/>
  <c r="M447" i="2"/>
  <c r="M435" i="2"/>
  <c r="M423" i="2"/>
  <c r="M411" i="2"/>
  <c r="M399" i="2"/>
  <c r="M387" i="2"/>
  <c r="M375" i="2"/>
  <c r="M363" i="2"/>
  <c r="M351" i="2"/>
  <c r="M339" i="2"/>
  <c r="M327" i="2"/>
  <c r="M315" i="2"/>
  <c r="M303" i="2"/>
  <c r="M291" i="2"/>
  <c r="M279" i="2"/>
  <c r="M267" i="2"/>
  <c r="M255" i="2"/>
  <c r="M243" i="2"/>
  <c r="M231" i="2"/>
  <c r="M219" i="2"/>
  <c r="M207" i="2"/>
  <c r="M195" i="2"/>
  <c r="M183" i="2"/>
  <c r="M171" i="2"/>
  <c r="M159" i="2"/>
  <c r="M147" i="2"/>
  <c r="M135" i="2"/>
  <c r="M123" i="2"/>
  <c r="M111" i="2"/>
  <c r="M99" i="2"/>
  <c r="M87" i="2"/>
  <c r="M75" i="2"/>
  <c r="M63" i="2"/>
  <c r="M51" i="2"/>
  <c r="M39" i="2"/>
  <c r="M27" i="2"/>
  <c r="M15" i="2"/>
  <c r="M1003" i="2"/>
  <c r="M967" i="2"/>
  <c r="M931" i="2"/>
  <c r="M895" i="2"/>
  <c r="M883" i="2"/>
  <c r="M835" i="2"/>
  <c r="M811" i="2"/>
  <c r="M799" i="2"/>
  <c r="M751" i="2"/>
  <c r="M739" i="2"/>
  <c r="M727" i="2"/>
  <c r="M715" i="2"/>
  <c r="M655" i="2"/>
  <c r="M595" i="2"/>
  <c r="M583" i="2"/>
  <c r="M547" i="2"/>
  <c r="M535" i="2"/>
  <c r="M523" i="2"/>
  <c r="M511" i="2"/>
  <c r="M81" i="2"/>
  <c r="M957" i="2"/>
  <c r="N957" i="2"/>
  <c r="N897" i="2"/>
  <c r="M897" i="2"/>
  <c r="N753" i="2"/>
  <c r="M753" i="2"/>
  <c r="N741" i="2"/>
  <c r="M741" i="2"/>
  <c r="N597" i="2"/>
  <c r="M597" i="2"/>
  <c r="N345" i="2"/>
  <c r="M345" i="2"/>
  <c r="N201" i="2"/>
  <c r="M201" i="2"/>
  <c r="M381" i="2"/>
  <c r="M644" i="2"/>
  <c r="N644" i="2"/>
  <c r="N224" i="2"/>
  <c r="M224" i="2"/>
  <c r="N68" i="2"/>
  <c r="M68" i="2"/>
  <c r="M657" i="2"/>
  <c r="M369" i="2"/>
  <c r="N77" i="2"/>
  <c r="M77" i="2"/>
  <c r="M631" i="2"/>
  <c r="N631" i="2"/>
  <c r="N487" i="2"/>
  <c r="N475" i="2"/>
  <c r="N463" i="2"/>
  <c r="N451" i="2"/>
  <c r="N439" i="2"/>
  <c r="N427" i="2"/>
  <c r="N415" i="2"/>
  <c r="N403" i="2"/>
  <c r="N391" i="2"/>
  <c r="N379" i="2"/>
  <c r="N367" i="2"/>
  <c r="N355" i="2"/>
  <c r="N343" i="2"/>
  <c r="N331" i="2"/>
  <c r="N319" i="2"/>
  <c r="N307" i="2"/>
  <c r="N295" i="2"/>
  <c r="N283" i="2"/>
  <c r="N271" i="2"/>
  <c r="N259" i="2"/>
  <c r="N247" i="2"/>
  <c r="N235" i="2"/>
  <c r="N223" i="2"/>
  <c r="N211" i="2"/>
  <c r="N199" i="2"/>
  <c r="N187" i="2"/>
  <c r="N175" i="2"/>
  <c r="N163" i="2"/>
  <c r="N151" i="2"/>
  <c r="N139" i="2"/>
  <c r="O139" i="2" s="1"/>
  <c r="N127" i="2"/>
  <c r="N115" i="2"/>
  <c r="O115" i="2" s="1"/>
  <c r="N103" i="2"/>
  <c r="N91" i="2"/>
  <c r="N79" i="2"/>
  <c r="N67" i="2"/>
  <c r="N55" i="2"/>
  <c r="N43" i="2"/>
  <c r="N31" i="2"/>
  <c r="N19" i="2"/>
  <c r="N7" i="2"/>
  <c r="N365" i="2"/>
  <c r="M365" i="2"/>
  <c r="N942" i="2"/>
  <c r="N834" i="2"/>
  <c r="N774" i="2"/>
  <c r="N726" i="2"/>
  <c r="N678" i="2"/>
  <c r="O678" i="2" s="1"/>
  <c r="N594" i="2"/>
  <c r="N546" i="2"/>
  <c r="N498" i="2"/>
  <c r="N450" i="2"/>
  <c r="N390" i="2"/>
  <c r="N342" i="2"/>
  <c r="N306" i="2"/>
  <c r="M282" i="2"/>
  <c r="N282" i="2"/>
  <c r="N270" i="2"/>
  <c r="N246" i="2"/>
  <c r="N222" i="2"/>
  <c r="M210" i="2"/>
  <c r="N210" i="2"/>
  <c r="N198" i="2"/>
  <c r="N186" i="2"/>
  <c r="M621" i="2"/>
  <c r="N852" i="2"/>
  <c r="M852" i="2"/>
  <c r="N701" i="2"/>
  <c r="M701" i="2"/>
  <c r="N617" i="2"/>
  <c r="M617" i="2"/>
  <c r="N533" i="2"/>
  <c r="M533" i="2"/>
  <c r="N449" i="2"/>
  <c r="M449" i="2"/>
  <c r="N269" i="2"/>
  <c r="M269" i="2"/>
  <c r="N173" i="2"/>
  <c r="M173" i="2"/>
  <c r="N990" i="2"/>
  <c r="N966" i="2"/>
  <c r="N954" i="2"/>
  <c r="N930" i="2"/>
  <c r="N894" i="2"/>
  <c r="N870" i="2"/>
  <c r="N858" i="2"/>
  <c r="O858" i="2" s="1"/>
  <c r="N822" i="2"/>
  <c r="N810" i="2"/>
  <c r="N798" i="2"/>
  <c r="N786" i="2"/>
  <c r="N750" i="2"/>
  <c r="N738" i="2"/>
  <c r="N714" i="2"/>
  <c r="N702" i="2"/>
  <c r="N690" i="2"/>
  <c r="N666" i="2"/>
  <c r="N642" i="2"/>
  <c r="N618" i="2"/>
  <c r="N606" i="2"/>
  <c r="N582" i="2"/>
  <c r="N570" i="2"/>
  <c r="N558" i="2"/>
  <c r="N534" i="2"/>
  <c r="N522" i="2"/>
  <c r="N510" i="2"/>
  <c r="N474" i="2"/>
  <c r="N462" i="2"/>
  <c r="N438" i="2"/>
  <c r="N426" i="2"/>
  <c r="N414" i="2"/>
  <c r="N378" i="2"/>
  <c r="N366" i="2"/>
  <c r="N354" i="2"/>
  <c r="N330" i="2"/>
  <c r="N318" i="2"/>
  <c r="N294" i="2"/>
  <c r="N234" i="2"/>
  <c r="M921" i="2"/>
  <c r="M501" i="2"/>
  <c r="N174" i="2"/>
  <c r="N162" i="2"/>
  <c r="N150" i="2"/>
  <c r="N126" i="2"/>
  <c r="N114" i="2"/>
  <c r="N102" i="2"/>
  <c r="N90" i="2"/>
  <c r="N78" i="2"/>
  <c r="N66" i="2"/>
  <c r="N54" i="2"/>
  <c r="O54" i="2" s="1"/>
  <c r="N42" i="2"/>
  <c r="N30" i="2"/>
  <c r="N18" i="2"/>
  <c r="N661" i="2"/>
  <c r="M661" i="2"/>
  <c r="N1000" i="2"/>
  <c r="N988" i="2"/>
  <c r="N976" i="2"/>
  <c r="N964" i="2"/>
  <c r="N952" i="2"/>
  <c r="N940" i="2"/>
  <c r="N928" i="2"/>
  <c r="N916" i="2"/>
  <c r="N904" i="2"/>
  <c r="N892" i="2"/>
  <c r="N880" i="2"/>
  <c r="N868" i="2"/>
  <c r="N856" i="2"/>
  <c r="N844" i="2"/>
  <c r="N832" i="2"/>
  <c r="N820" i="2"/>
  <c r="N808" i="2"/>
  <c r="N796" i="2"/>
  <c r="N784" i="2"/>
  <c r="N772" i="2"/>
  <c r="N516" i="2"/>
  <c r="M516" i="2"/>
  <c r="N312" i="2"/>
  <c r="M312" i="2"/>
  <c r="N975" i="2"/>
  <c r="N963" i="2"/>
  <c r="N939" i="2"/>
  <c r="N891" i="2"/>
  <c r="N795" i="2"/>
  <c r="N759" i="2"/>
  <c r="N663" i="2"/>
  <c r="N627" i="2"/>
  <c r="N555" i="2"/>
  <c r="N531" i="2"/>
  <c r="N423" i="2"/>
  <c r="N399" i="2"/>
  <c r="N387" i="2"/>
  <c r="N324" i="2"/>
  <c r="N998" i="2"/>
  <c r="M986" i="2"/>
  <c r="N986" i="2"/>
  <c r="N974" i="2"/>
  <c r="N962" i="2"/>
  <c r="N950" i="2"/>
  <c r="N938" i="2"/>
  <c r="N926" i="2"/>
  <c r="N902" i="2"/>
  <c r="N878" i="2"/>
  <c r="N866" i="2"/>
  <c r="N854" i="2"/>
  <c r="N842" i="2"/>
  <c r="N830" i="2"/>
  <c r="N806" i="2"/>
  <c r="N794" i="2"/>
  <c r="N782" i="2"/>
  <c r="N770" i="2"/>
  <c r="M758" i="2"/>
  <c r="N746" i="2"/>
  <c r="N734" i="2"/>
  <c r="N722" i="2"/>
  <c r="N710" i="2"/>
  <c r="M566" i="2"/>
  <c r="M288" i="2"/>
  <c r="M982" i="2"/>
  <c r="M898" i="2"/>
  <c r="M838" i="2"/>
  <c r="M790" i="2"/>
  <c r="M766" i="2"/>
  <c r="M742" i="2"/>
  <c r="M730" i="2"/>
  <c r="M718" i="2"/>
  <c r="M706" i="2"/>
  <c r="M694" i="2"/>
  <c r="M682" i="2"/>
  <c r="M670" i="2"/>
  <c r="M658" i="2"/>
  <c r="M106" i="2"/>
  <c r="M94" i="2"/>
  <c r="M70" i="2"/>
  <c r="M58" i="2"/>
  <c r="M46" i="2"/>
  <c r="M34" i="2"/>
  <c r="N22" i="2"/>
  <c r="M10" i="2"/>
  <c r="N576" i="2"/>
  <c r="M576" i="2"/>
  <c r="M958" i="2"/>
  <c r="M910" i="2"/>
  <c r="M862" i="2"/>
  <c r="M802" i="2"/>
  <c r="M754" i="2"/>
  <c r="M945" i="2"/>
  <c r="M873" i="2"/>
  <c r="M825" i="2"/>
  <c r="M681" i="2"/>
  <c r="M669" i="2"/>
  <c r="M633" i="2"/>
  <c r="M609" i="2"/>
  <c r="M585" i="2"/>
  <c r="M561" i="2"/>
  <c r="M537" i="2"/>
  <c r="M513" i="2"/>
  <c r="M465" i="2"/>
  <c r="M453" i="2"/>
  <c r="M417" i="2"/>
  <c r="M393" i="2"/>
  <c r="M357" i="2"/>
  <c r="M297" i="2"/>
  <c r="M249" i="2"/>
  <c r="M213" i="2"/>
  <c r="M177" i="2"/>
  <c r="M141" i="2"/>
  <c r="M69" i="2"/>
  <c r="M57" i="2"/>
  <c r="N588" i="2"/>
  <c r="N420" i="2"/>
  <c r="N36" i="2"/>
  <c r="M554" i="2"/>
  <c r="N264" i="2"/>
  <c r="M994" i="2"/>
  <c r="M970" i="2"/>
  <c r="M946" i="2"/>
  <c r="M934" i="2"/>
  <c r="M922" i="2"/>
  <c r="M886" i="2"/>
  <c r="M874" i="2"/>
  <c r="M850" i="2"/>
  <c r="M826" i="2"/>
  <c r="M814" i="2"/>
  <c r="M778" i="2"/>
  <c r="M981" i="2"/>
  <c r="M933" i="2"/>
  <c r="M861" i="2"/>
  <c r="M837" i="2"/>
  <c r="M813" i="2"/>
  <c r="M789" i="2"/>
  <c r="M765" i="2"/>
  <c r="M1004" i="2"/>
  <c r="M932" i="2"/>
  <c r="M788" i="2"/>
  <c r="M704" i="2"/>
  <c r="M620" i="2"/>
  <c r="M404" i="2"/>
  <c r="M356" i="2"/>
  <c r="M200" i="2"/>
  <c r="M128" i="2"/>
  <c r="N983" i="2"/>
  <c r="N971" i="2"/>
  <c r="N947" i="2"/>
  <c r="N935" i="2"/>
  <c r="N923" i="2"/>
  <c r="N911" i="2"/>
  <c r="N875" i="2"/>
  <c r="N851" i="2"/>
  <c r="N839" i="2"/>
  <c r="N827" i="2"/>
  <c r="N815" i="2"/>
  <c r="N791" i="2"/>
  <c r="N767" i="2"/>
  <c r="N743" i="2"/>
  <c r="N731" i="2"/>
  <c r="N719" i="2"/>
  <c r="N707" i="2"/>
  <c r="N695" i="2"/>
  <c r="N683" i="2"/>
  <c r="N659" i="2"/>
  <c r="N647" i="2"/>
  <c r="N635" i="2"/>
  <c r="N623" i="2"/>
  <c r="N599" i="2"/>
  <c r="N587" i="2"/>
  <c r="N575" i="2"/>
  <c r="N563" i="2"/>
  <c r="N551" i="2"/>
  <c r="N539" i="2"/>
  <c r="N515" i="2"/>
  <c r="N491" i="2"/>
  <c r="N479" i="2"/>
  <c r="N467" i="2"/>
  <c r="M455" i="2"/>
  <c r="N431" i="2"/>
  <c r="M419" i="2"/>
  <c r="N419" i="2"/>
  <c r="N407" i="2"/>
  <c r="N395" i="2"/>
  <c r="N383" i="2"/>
  <c r="N215" i="2"/>
  <c r="M674" i="2"/>
  <c r="M408" i="2"/>
  <c r="N552" i="2"/>
  <c r="N217" i="2"/>
  <c r="O217" i="2" s="1"/>
  <c r="M602" i="2"/>
  <c r="M530" i="2"/>
  <c r="M350" i="2"/>
  <c r="M314" i="2"/>
  <c r="N760" i="2"/>
  <c r="N748" i="2"/>
  <c r="N736" i="2"/>
  <c r="N724" i="2"/>
  <c r="N712" i="2"/>
  <c r="N700" i="2"/>
  <c r="N688" i="2"/>
  <c r="N676" i="2"/>
  <c r="N664" i="2"/>
  <c r="N652" i="2"/>
  <c r="N640" i="2"/>
  <c r="N628" i="2"/>
  <c r="N616" i="2"/>
  <c r="N604" i="2"/>
  <c r="N592" i="2"/>
  <c r="N580" i="2"/>
  <c r="N568" i="2"/>
  <c r="N556" i="2"/>
  <c r="N544" i="2"/>
  <c r="N532" i="2"/>
  <c r="N520" i="2"/>
  <c r="N508" i="2"/>
  <c r="N496" i="2"/>
  <c r="N484" i="2"/>
  <c r="N472" i="2"/>
  <c r="N460" i="2"/>
  <c r="N448" i="2"/>
  <c r="N436" i="2"/>
  <c r="N424" i="2"/>
  <c r="N412" i="2"/>
  <c r="N400" i="2"/>
  <c r="N388" i="2"/>
  <c r="N376" i="2"/>
  <c r="N364" i="2"/>
  <c r="N352" i="2"/>
  <c r="N340" i="2"/>
  <c r="N328" i="2"/>
  <c r="N316" i="2"/>
  <c r="N304" i="2"/>
  <c r="N292" i="2"/>
  <c r="N280" i="2"/>
  <c r="N268" i="2"/>
  <c r="N256" i="2"/>
  <c r="N244" i="2"/>
  <c r="N232" i="2"/>
  <c r="N220" i="2"/>
  <c r="N208" i="2"/>
  <c r="N196" i="2"/>
  <c r="N184" i="2"/>
  <c r="N172" i="2"/>
  <c r="N160" i="2"/>
  <c r="N148" i="2"/>
  <c r="N136" i="2"/>
  <c r="N124" i="2"/>
  <c r="N112" i="2"/>
  <c r="N100" i="2"/>
  <c r="N88" i="2"/>
  <c r="N76" i="2"/>
  <c r="N64" i="2"/>
  <c r="N52" i="2"/>
  <c r="N40" i="2"/>
  <c r="N28" i="2"/>
  <c r="N16" i="2"/>
  <c r="N278" i="2"/>
  <c r="N266" i="2"/>
  <c r="N254" i="2"/>
  <c r="N242" i="2"/>
  <c r="N230" i="2"/>
  <c r="N218" i="2"/>
  <c r="N194" i="2"/>
  <c r="M182" i="2"/>
  <c r="N158" i="2"/>
  <c r="N146" i="2"/>
  <c r="N122" i="2"/>
  <c r="N110" i="2"/>
  <c r="N98" i="2"/>
  <c r="N86" i="2"/>
  <c r="N74" i="2"/>
  <c r="N38" i="2"/>
  <c r="N26" i="2"/>
  <c r="N14" i="2"/>
  <c r="N359" i="2"/>
  <c r="N335" i="2"/>
  <c r="N323" i="2"/>
  <c r="N299" i="2"/>
  <c r="N287" i="2"/>
  <c r="N275" i="2"/>
  <c r="N263" i="2"/>
  <c r="N251" i="2"/>
  <c r="N239" i="2"/>
  <c r="N227" i="2"/>
  <c r="N203" i="2"/>
  <c r="N191" i="2"/>
  <c r="N179" i="2"/>
  <c r="N167" i="2"/>
  <c r="N155" i="2"/>
  <c r="N143" i="2"/>
  <c r="N131" i="2"/>
  <c r="N119" i="2"/>
  <c r="N107" i="2"/>
  <c r="N95" i="2"/>
  <c r="N83" i="2"/>
  <c r="N71" i="2"/>
  <c r="N47" i="2"/>
  <c r="M35" i="2"/>
  <c r="N23" i="2"/>
  <c r="N11" i="2"/>
  <c r="M913" i="2"/>
  <c r="N913" i="2"/>
  <c r="M877" i="2"/>
  <c r="N877" i="2"/>
  <c r="N865" i="2"/>
  <c r="M865" i="2"/>
  <c r="M853" i="2"/>
  <c r="N853" i="2"/>
  <c r="N829" i="2"/>
  <c r="M829" i="2"/>
  <c r="N733" i="2"/>
  <c r="M733" i="2"/>
  <c r="M649" i="2"/>
  <c r="N649" i="2"/>
  <c r="M625" i="2"/>
  <c r="N625" i="2"/>
  <c r="N397" i="2"/>
  <c r="M397" i="2"/>
  <c r="M193" i="2"/>
  <c r="N193" i="2"/>
  <c r="M109" i="2"/>
  <c r="N109" i="2"/>
  <c r="N73" i="2"/>
  <c r="M73" i="2"/>
  <c r="M25" i="2"/>
  <c r="N25" i="2"/>
  <c r="M616" i="2"/>
  <c r="M361" i="2"/>
  <c r="O361" i="2" s="1"/>
  <c r="M313" i="2"/>
  <c r="O313" i="2" s="1"/>
  <c r="N996" i="2"/>
  <c r="M996" i="2"/>
  <c r="M876" i="2"/>
  <c r="N876" i="2"/>
  <c r="M792" i="2"/>
  <c r="N792" i="2"/>
  <c r="N756" i="2"/>
  <c r="M756" i="2"/>
  <c r="N720" i="2"/>
  <c r="M720" i="2"/>
  <c r="N612" i="2"/>
  <c r="M612" i="2"/>
  <c r="M268" i="2"/>
  <c r="M172" i="2"/>
  <c r="M121" i="2"/>
  <c r="O121" i="2" s="1"/>
  <c r="N900" i="2"/>
  <c r="N725" i="2"/>
  <c r="N421" i="2"/>
  <c r="O421" i="2" s="1"/>
  <c r="M892" i="2"/>
  <c r="M601" i="2"/>
  <c r="O601" i="2" s="1"/>
  <c r="N960" i="2"/>
  <c r="N629" i="2"/>
  <c r="N325" i="2"/>
  <c r="O325" i="2" s="1"/>
  <c r="N89" i="2"/>
  <c r="N973" i="2"/>
  <c r="O973" i="2" s="1"/>
  <c r="N961" i="2"/>
  <c r="O961" i="2" s="1"/>
  <c r="N937" i="2"/>
  <c r="O937" i="2" s="1"/>
  <c r="N745" i="2"/>
  <c r="O745" i="2" s="1"/>
  <c r="N709" i="2"/>
  <c r="O709" i="2" s="1"/>
  <c r="N673" i="2"/>
  <c r="O673" i="2" s="1"/>
  <c r="N577" i="2"/>
  <c r="O577" i="2" s="1"/>
  <c r="N565" i="2"/>
  <c r="O565" i="2" s="1"/>
  <c r="N529" i="2"/>
  <c r="O529" i="2" s="1"/>
  <c r="N445" i="2"/>
  <c r="O445" i="2" s="1"/>
  <c r="N349" i="2"/>
  <c r="O349" i="2" s="1"/>
  <c r="N277" i="2"/>
  <c r="O277" i="2" s="1"/>
  <c r="N265" i="2"/>
  <c r="O265" i="2" s="1"/>
  <c r="N169" i="2"/>
  <c r="O169" i="2" s="1"/>
  <c r="M965" i="2"/>
  <c r="M925" i="2"/>
  <c r="O925" i="2" s="1"/>
  <c r="M848" i="2"/>
  <c r="M517" i="2"/>
  <c r="O517" i="2" s="1"/>
  <c r="M296" i="2"/>
  <c r="N958" i="2"/>
  <c r="N817" i="2"/>
  <c r="O817" i="2" s="1"/>
  <c r="N5" i="2"/>
  <c r="N924" i="2"/>
  <c r="M989" i="2"/>
  <c r="M847" i="2"/>
  <c r="M805" i="2"/>
  <c r="O805" i="2" s="1"/>
  <c r="M769" i="2"/>
  <c r="O769" i="2" s="1"/>
  <c r="M643" i="2"/>
  <c r="M560" i="2"/>
  <c r="M473" i="2"/>
  <c r="M341" i="2"/>
  <c r="N816" i="2"/>
  <c r="M992" i="2"/>
  <c r="M980" i="2"/>
  <c r="M956" i="2"/>
  <c r="M944" i="2"/>
  <c r="M920" i="2"/>
  <c r="M896" i="2"/>
  <c r="M884" i="2"/>
  <c r="M860" i="2"/>
  <c r="M836" i="2"/>
  <c r="M824" i="2"/>
  <c r="M800" i="2"/>
  <c r="M776" i="2"/>
  <c r="M752" i="2"/>
  <c r="M740" i="2"/>
  <c r="M728" i="2"/>
  <c r="M716" i="2"/>
  <c r="M692" i="2"/>
  <c r="M680" i="2"/>
  <c r="M668" i="2"/>
  <c r="M656" i="2"/>
  <c r="M632" i="2"/>
  <c r="M608" i="2"/>
  <c r="M584" i="2"/>
  <c r="M572" i="2"/>
  <c r="M548" i="2"/>
  <c r="M536" i="2"/>
  <c r="M524" i="2"/>
  <c r="M500" i="2"/>
  <c r="M488" i="2"/>
  <c r="M476" i="2"/>
  <c r="M464" i="2"/>
  <c r="M452" i="2"/>
  <c r="M440" i="2"/>
  <c r="M428" i="2"/>
  <c r="M416" i="2"/>
  <c r="M392" i="2"/>
  <c r="M380" i="2"/>
  <c r="M368" i="2"/>
  <c r="M344" i="2"/>
  <c r="M332" i="2"/>
  <c r="M320" i="2"/>
  <c r="M308" i="2"/>
  <c r="M284" i="2"/>
  <c r="M272" i="2"/>
  <c r="M260" i="2"/>
  <c r="M248" i="2"/>
  <c r="M236" i="2"/>
  <c r="M212" i="2"/>
  <c r="M188" i="2"/>
  <c r="M176" i="2"/>
  <c r="M164" i="2"/>
  <c r="M152" i="2"/>
  <c r="M140" i="2"/>
  <c r="M116" i="2"/>
  <c r="M104" i="2"/>
  <c r="M92" i="2"/>
  <c r="M80" i="2"/>
  <c r="M56" i="2"/>
  <c r="M32" i="2"/>
  <c r="M20" i="2"/>
  <c r="M8" i="2"/>
  <c r="N995" i="2"/>
  <c r="M995" i="2"/>
  <c r="N959" i="2"/>
  <c r="M959" i="2"/>
  <c r="N887" i="2"/>
  <c r="M887" i="2"/>
  <c r="N863" i="2"/>
  <c r="M863" i="2"/>
  <c r="N803" i="2"/>
  <c r="M803" i="2"/>
  <c r="N779" i="2"/>
  <c r="M779" i="2"/>
  <c r="N755" i="2"/>
  <c r="M755" i="2"/>
  <c r="N671" i="2"/>
  <c r="M671" i="2"/>
  <c r="N611" i="2"/>
  <c r="M611" i="2"/>
  <c r="N527" i="2"/>
  <c r="M527" i="2"/>
  <c r="N503" i="2"/>
  <c r="M503" i="2"/>
  <c r="N443" i="2"/>
  <c r="M443" i="2"/>
  <c r="N371" i="2"/>
  <c r="M371" i="2"/>
  <c r="M347" i="2"/>
  <c r="N347" i="2"/>
  <c r="N311" i="2"/>
  <c r="M311" i="2"/>
  <c r="N59" i="2"/>
  <c r="M59" i="2"/>
  <c r="M912" i="2"/>
  <c r="M804" i="2"/>
  <c r="M768" i="2"/>
  <c r="M679" i="2"/>
  <c r="M642" i="2"/>
  <c r="M559" i="2"/>
  <c r="M431" i="2"/>
  <c r="M294" i="2"/>
  <c r="M150" i="2"/>
  <c r="M97" i="2"/>
  <c r="O97" i="2" s="1"/>
  <c r="M13" i="2"/>
  <c r="O13" i="2" s="1"/>
  <c r="N781" i="2"/>
  <c r="O781" i="2" s="1"/>
  <c r="N687" i="2"/>
  <c r="N593" i="2"/>
  <c r="N373" i="2"/>
  <c r="M373" i="2"/>
  <c r="N970" i="2"/>
  <c r="N922" i="2"/>
  <c r="N910" i="2"/>
  <c r="N874" i="2"/>
  <c r="N838" i="2"/>
  <c r="N814" i="2"/>
  <c r="N742" i="2"/>
  <c r="N706" i="2"/>
  <c r="N670" i="2"/>
  <c r="M984" i="2"/>
  <c r="M833" i="2"/>
  <c r="M797" i="2"/>
  <c r="M764" i="2"/>
  <c r="M721" i="2"/>
  <c r="O721" i="2" s="1"/>
  <c r="M596" i="2"/>
  <c r="M512" i="2"/>
  <c r="M427" i="2"/>
  <c r="N780" i="2"/>
  <c r="N591" i="2"/>
  <c r="N497" i="2"/>
  <c r="N161" i="2"/>
  <c r="N37" i="2"/>
  <c r="O37" i="2" s="1"/>
  <c r="M541" i="2"/>
  <c r="N541" i="2"/>
  <c r="N505" i="2"/>
  <c r="M505" i="2"/>
  <c r="N241" i="2"/>
  <c r="M241" i="2"/>
  <c r="M948" i="2"/>
  <c r="N948" i="2"/>
  <c r="M949" i="2"/>
  <c r="O949" i="2" s="1"/>
  <c r="M763" i="2"/>
  <c r="N994" i="2"/>
  <c r="N869" i="2"/>
  <c r="N682" i="2"/>
  <c r="M481" i="2"/>
  <c r="N481" i="2"/>
  <c r="M301" i="2"/>
  <c r="N301" i="2"/>
  <c r="N737" i="2"/>
  <c r="M737" i="2"/>
  <c r="N677" i="2"/>
  <c r="M677" i="2"/>
  <c r="N485" i="2"/>
  <c r="M485" i="2"/>
  <c r="M233" i="2"/>
  <c r="N233" i="2"/>
  <c r="M101" i="2"/>
  <c r="N101" i="2"/>
  <c r="M908" i="2"/>
  <c r="M872" i="2"/>
  <c r="M624" i="2"/>
  <c r="M197" i="2"/>
  <c r="M44" i="2"/>
  <c r="N864" i="2"/>
  <c r="M493" i="2"/>
  <c r="N493" i="2"/>
  <c r="N648" i="2"/>
  <c r="M648" i="2"/>
  <c r="M1001" i="2"/>
  <c r="N1001" i="2"/>
  <c r="M977" i="2"/>
  <c r="N977" i="2"/>
  <c r="N941" i="2"/>
  <c r="M941" i="2"/>
  <c r="M713" i="2"/>
  <c r="N713" i="2"/>
  <c r="N653" i="2"/>
  <c r="M653" i="2"/>
  <c r="N245" i="2"/>
  <c r="M245" i="2"/>
  <c r="N209" i="2"/>
  <c r="M209" i="2"/>
  <c r="N113" i="2"/>
  <c r="M113" i="2"/>
  <c r="M940" i="2"/>
  <c r="M868" i="2"/>
  <c r="M784" i="2"/>
  <c r="M712" i="2"/>
  <c r="M628" i="2"/>
  <c r="M556" i="2"/>
  <c r="M460" i="2"/>
  <c r="M376" i="2"/>
  <c r="M292" i="2"/>
  <c r="M160" i="2"/>
  <c r="M88" i="2"/>
  <c r="M979" i="2"/>
  <c r="M907" i="2"/>
  <c r="M582" i="2"/>
  <c r="M539" i="2"/>
  <c r="M318" i="2"/>
  <c r="M181" i="2"/>
  <c r="O181" i="2" s="1"/>
  <c r="M43" i="2"/>
  <c r="N929" i="2"/>
  <c r="N859" i="2"/>
  <c r="N459" i="2"/>
  <c r="M917" i="2"/>
  <c r="N917" i="2"/>
  <c r="N905" i="2"/>
  <c r="M905" i="2"/>
  <c r="N881" i="2"/>
  <c r="M881" i="2"/>
  <c r="N857" i="2"/>
  <c r="M857" i="2"/>
  <c r="N845" i="2"/>
  <c r="M845" i="2"/>
  <c r="N821" i="2"/>
  <c r="M821" i="2"/>
  <c r="N773" i="2"/>
  <c r="M773" i="2"/>
  <c r="N761" i="2"/>
  <c r="M761" i="2"/>
  <c r="N689" i="2"/>
  <c r="M689" i="2"/>
  <c r="N641" i="2"/>
  <c r="M641" i="2"/>
  <c r="N569" i="2"/>
  <c r="M569" i="2"/>
  <c r="N557" i="2"/>
  <c r="M557" i="2"/>
  <c r="N545" i="2"/>
  <c r="M545" i="2"/>
  <c r="M509" i="2"/>
  <c r="N509" i="2"/>
  <c r="M437" i="2"/>
  <c r="N437" i="2"/>
  <c r="N425" i="2"/>
  <c r="M425" i="2"/>
  <c r="M413" i="2"/>
  <c r="N413" i="2"/>
  <c r="N401" i="2"/>
  <c r="M401" i="2"/>
  <c r="N389" i="2"/>
  <c r="M389" i="2"/>
  <c r="N353" i="2"/>
  <c r="M353" i="2"/>
  <c r="M305" i="2"/>
  <c r="N305" i="2"/>
  <c r="M293" i="2"/>
  <c r="N293" i="2"/>
  <c r="M257" i="2"/>
  <c r="N257" i="2"/>
  <c r="M137" i="2"/>
  <c r="N137" i="2"/>
  <c r="N65" i="2"/>
  <c r="M65" i="2"/>
  <c r="N53" i="2"/>
  <c r="M53" i="2"/>
  <c r="M29" i="2"/>
  <c r="N29" i="2"/>
  <c r="M1000" i="2"/>
  <c r="M976" i="2"/>
  <c r="M964" i="2"/>
  <c r="M928" i="2"/>
  <c r="M916" i="2"/>
  <c r="M904" i="2"/>
  <c r="M880" i="2"/>
  <c r="M856" i="2"/>
  <c r="M844" i="2"/>
  <c r="M820" i="2"/>
  <c r="M808" i="2"/>
  <c r="M796" i="2"/>
  <c r="M772" i="2"/>
  <c r="M760" i="2"/>
  <c r="M736" i="2"/>
  <c r="M724" i="2"/>
  <c r="M700" i="2"/>
  <c r="M688" i="2"/>
  <c r="M676" i="2"/>
  <c r="M652" i="2"/>
  <c r="M604" i="2"/>
  <c r="M592" i="2"/>
  <c r="M580" i="2"/>
  <c r="M568" i="2"/>
  <c r="M544" i="2"/>
  <c r="M532" i="2"/>
  <c r="M520" i="2"/>
  <c r="M508" i="2"/>
  <c r="M484" i="2"/>
  <c r="M448" i="2"/>
  <c r="M436" i="2"/>
  <c r="M424" i="2"/>
  <c r="M412" i="2"/>
  <c r="M400" i="2"/>
  <c r="M364" i="2"/>
  <c r="M352" i="2"/>
  <c r="M328" i="2"/>
  <c r="M304" i="2"/>
  <c r="M280" i="2"/>
  <c r="M256" i="2"/>
  <c r="M232" i="2"/>
  <c r="M220" i="2"/>
  <c r="M208" i="2"/>
  <c r="M196" i="2"/>
  <c r="M184" i="2"/>
  <c r="M148" i="2"/>
  <c r="M136" i="2"/>
  <c r="M112" i="2"/>
  <c r="M100" i="2"/>
  <c r="M76" i="2"/>
  <c r="M64" i="2"/>
  <c r="M40" i="2"/>
  <c r="M28" i="2"/>
  <c r="M16" i="2"/>
  <c r="N955" i="2"/>
  <c r="M955" i="2"/>
  <c r="N691" i="2"/>
  <c r="M691" i="2"/>
  <c r="N607" i="2"/>
  <c r="M607" i="2"/>
  <c r="N1002" i="2"/>
  <c r="M1002" i="2"/>
  <c r="N978" i="2"/>
  <c r="M978" i="2"/>
  <c r="N918" i="2"/>
  <c r="M918" i="2"/>
  <c r="N906" i="2"/>
  <c r="M906" i="2"/>
  <c r="N882" i="2"/>
  <c r="M882" i="2"/>
  <c r="N846" i="2"/>
  <c r="M846" i="2"/>
  <c r="N762" i="2"/>
  <c r="M762" i="2"/>
  <c r="N654" i="2"/>
  <c r="M654" i="2"/>
  <c r="N630" i="2"/>
  <c r="M630" i="2"/>
  <c r="N486" i="2"/>
  <c r="M486" i="2"/>
  <c r="N402" i="2"/>
  <c r="M402" i="2"/>
  <c r="N258" i="2"/>
  <c r="M258" i="2"/>
  <c r="N138" i="2"/>
  <c r="M138" i="2"/>
  <c r="N6" i="2"/>
  <c r="M6" i="2"/>
  <c r="M827" i="2"/>
  <c r="M787" i="2"/>
  <c r="M581" i="2"/>
  <c r="M366" i="2"/>
  <c r="M317" i="2"/>
  <c r="M271" i="2"/>
  <c r="M227" i="2"/>
  <c r="M127" i="2"/>
  <c r="M42" i="2"/>
  <c r="N987" i="2"/>
  <c r="N855" i="2"/>
  <c r="N363" i="2"/>
  <c r="N468" i="2"/>
  <c r="M468" i="2"/>
  <c r="M360" i="2"/>
  <c r="N360" i="2"/>
  <c r="M204" i="2"/>
  <c r="N204" i="2"/>
  <c r="N999" i="2"/>
  <c r="N951" i="2"/>
  <c r="N927" i="2"/>
  <c r="N915" i="2"/>
  <c r="N903" i="2"/>
  <c r="N879" i="2"/>
  <c r="N867" i="2"/>
  <c r="N843" i="2"/>
  <c r="N831" i="2"/>
  <c r="N807" i="2"/>
  <c r="N783" i="2"/>
  <c r="N771" i="2"/>
  <c r="N747" i="2"/>
  <c r="N735" i="2"/>
  <c r="N723" i="2"/>
  <c r="N711" i="2"/>
  <c r="N699" i="2"/>
  <c r="N675" i="2"/>
  <c r="N651" i="2"/>
  <c r="N639" i="2"/>
  <c r="N615" i="2"/>
  <c r="N603" i="2"/>
  <c r="N579" i="2"/>
  <c r="N567" i="2"/>
  <c r="N543" i="2"/>
  <c r="N519" i="2"/>
  <c r="N507" i="2"/>
  <c r="N495" i="2"/>
  <c r="N483" i="2"/>
  <c r="N471" i="2"/>
  <c r="N447" i="2"/>
  <c r="N435" i="2"/>
  <c r="N411" i="2"/>
  <c r="N375" i="2"/>
  <c r="N351" i="2"/>
  <c r="N339" i="2"/>
  <c r="N327" i="2"/>
  <c r="N315" i="2"/>
  <c r="N303" i="2"/>
  <c r="N291" i="2"/>
  <c r="N279" i="2"/>
  <c r="N267" i="2"/>
  <c r="N255" i="2"/>
  <c r="N243" i="2"/>
  <c r="N231" i="2"/>
  <c r="N219" i="2"/>
  <c r="N207" i="2"/>
  <c r="N195" i="2"/>
  <c r="N183" i="2"/>
  <c r="N171" i="2"/>
  <c r="N159" i="2"/>
  <c r="N147" i="2"/>
  <c r="N135" i="2"/>
  <c r="N123" i="2"/>
  <c r="N111" i="2"/>
  <c r="N99" i="2"/>
  <c r="N87" i="2"/>
  <c r="N75" i="2"/>
  <c r="N63" i="2"/>
  <c r="N51" i="2"/>
  <c r="N39" i="2"/>
  <c r="N27" i="2"/>
  <c r="N15" i="2"/>
  <c r="M168" i="2"/>
  <c r="N84" i="2"/>
  <c r="M971" i="2"/>
  <c r="M899" i="2"/>
  <c r="M839" i="2"/>
  <c r="M791" i="2"/>
  <c r="M767" i="2"/>
  <c r="M719" i="2"/>
  <c r="M695" i="2"/>
  <c r="M683" i="2"/>
  <c r="M635" i="2"/>
  <c r="M623" i="2"/>
  <c r="M587" i="2"/>
  <c r="M551" i="2"/>
  <c r="M515" i="2"/>
  <c r="M479" i="2"/>
  <c r="M407" i="2"/>
  <c r="M395" i="2"/>
  <c r="M359" i="2"/>
  <c r="M335" i="2"/>
  <c r="M263" i="2"/>
  <c r="M239" i="2"/>
  <c r="M203" i="2"/>
  <c r="M191" i="2"/>
  <c r="M179" i="2"/>
  <c r="M143" i="2"/>
  <c r="M119" i="2"/>
  <c r="M83" i="2"/>
  <c r="M47" i="2"/>
  <c r="M11" i="2"/>
  <c r="N914" i="2"/>
  <c r="M914" i="2"/>
  <c r="M698" i="2"/>
  <c r="N698" i="2"/>
  <c r="N650" i="2"/>
  <c r="M650" i="2"/>
  <c r="N494" i="2"/>
  <c r="M494" i="2"/>
  <c r="M446" i="2"/>
  <c r="N446" i="2"/>
  <c r="N206" i="2"/>
  <c r="M206" i="2"/>
  <c r="N170" i="2"/>
  <c r="M170" i="2"/>
  <c r="M50" i="2"/>
  <c r="N50" i="2"/>
  <c r="M998" i="2"/>
  <c r="M801" i="2"/>
  <c r="M717" i="2"/>
  <c r="M549" i="2"/>
  <c r="M506" i="2"/>
  <c r="M374" i="2"/>
  <c r="M237" i="2"/>
  <c r="N492" i="2"/>
  <c r="N348" i="2"/>
  <c r="N192" i="2"/>
  <c r="N708" i="2"/>
  <c r="N696" i="2"/>
  <c r="N672" i="2"/>
  <c r="N660" i="2"/>
  <c r="N444" i="2"/>
  <c r="N120" i="2"/>
  <c r="M504" i="2"/>
  <c r="M372" i="2"/>
  <c r="N240" i="2"/>
  <c r="N384" i="2"/>
  <c r="M943" i="2"/>
  <c r="M775" i="2"/>
  <c r="M391" i="2"/>
  <c r="M331" i="2"/>
  <c r="M31" i="2"/>
  <c r="N946" i="2"/>
  <c r="N850" i="2"/>
  <c r="N778" i="2"/>
  <c r="M564" i="2"/>
  <c r="M991" i="2"/>
  <c r="M919" i="2"/>
  <c r="M871" i="2"/>
  <c r="M823" i="2"/>
  <c r="M703" i="2"/>
  <c r="M667" i="2"/>
  <c r="M619" i="2"/>
  <c r="M571" i="2"/>
  <c r="M499" i="2"/>
  <c r="M379" i="2"/>
  <c r="M367" i="2"/>
  <c r="M343" i="2"/>
  <c r="M319" i="2"/>
  <c r="M247" i="2"/>
  <c r="M223" i="2"/>
  <c r="M211" i="2"/>
  <c r="M187" i="2"/>
  <c r="M175" i="2"/>
  <c r="M103" i="2"/>
  <c r="M91" i="2"/>
  <c r="M67" i="2"/>
  <c r="M55" i="2"/>
  <c r="M19" i="2"/>
  <c r="M7" i="2"/>
  <c r="N982" i="2"/>
  <c r="N934" i="2"/>
  <c r="N898" i="2"/>
  <c r="N886" i="2"/>
  <c r="N862" i="2"/>
  <c r="N826" i="2"/>
  <c r="N802" i="2"/>
  <c r="N790" i="2"/>
  <c r="N766" i="2"/>
  <c r="N754" i="2"/>
  <c r="N730" i="2"/>
  <c r="N718" i="2"/>
  <c r="N694" i="2"/>
  <c r="N658" i="2"/>
  <c r="M942" i="2"/>
  <c r="M870" i="2"/>
  <c r="M822" i="2"/>
  <c r="M810" i="2"/>
  <c r="M798" i="2"/>
  <c r="M750" i="2"/>
  <c r="M738" i="2"/>
  <c r="M714" i="2"/>
  <c r="M666" i="2"/>
  <c r="M618" i="2"/>
  <c r="M594" i="2"/>
  <c r="M546" i="2"/>
  <c r="M522" i="2"/>
  <c r="M510" i="2"/>
  <c r="M462" i="2"/>
  <c r="M450" i="2"/>
  <c r="M378" i="2"/>
  <c r="M342" i="2"/>
  <c r="M306" i="2"/>
  <c r="M234" i="2"/>
  <c r="M222" i="2"/>
  <c r="M186" i="2"/>
  <c r="M162" i="2"/>
  <c r="M126" i="2"/>
  <c r="M90" i="2"/>
  <c r="M66" i="2"/>
  <c r="M30" i="2"/>
  <c r="M885" i="2"/>
  <c r="N885" i="2"/>
  <c r="M729" i="2"/>
  <c r="N729" i="2"/>
  <c r="M525" i="2"/>
  <c r="N525" i="2"/>
  <c r="M429" i="2"/>
  <c r="N429" i="2"/>
  <c r="N309" i="2"/>
  <c r="M309" i="2"/>
  <c r="M273" i="2"/>
  <c r="N273" i="2"/>
  <c r="M153" i="2"/>
  <c r="N153" i="2"/>
  <c r="N21" i="2"/>
  <c r="M21" i="2"/>
  <c r="M645" i="2"/>
  <c r="M626" i="2"/>
  <c r="M542" i="2"/>
  <c r="M321" i="2"/>
  <c r="M129" i="2"/>
  <c r="M105" i="2"/>
  <c r="M24" i="2"/>
  <c r="M434" i="2"/>
  <c r="M362" i="2"/>
  <c r="M290" i="2"/>
  <c r="M218" i="2"/>
  <c r="M146" i="2"/>
  <c r="M74" i="2"/>
  <c r="M38" i="2"/>
  <c r="M14" i="2"/>
  <c r="N953" i="2"/>
  <c r="N893" i="2"/>
  <c r="N809" i="2"/>
  <c r="N749" i="2"/>
  <c r="N665" i="2"/>
  <c r="N605" i="2"/>
  <c r="N521" i="2"/>
  <c r="N461" i="2"/>
  <c r="N377" i="2"/>
  <c r="N281" i="2"/>
  <c r="N221" i="2"/>
  <c r="N149" i="2"/>
  <c r="N17" i="2"/>
  <c r="M598" i="2"/>
  <c r="M526" i="2"/>
  <c r="M454" i="2"/>
  <c r="M382" i="2"/>
  <c r="M310" i="2"/>
  <c r="M238" i="2"/>
  <c r="M154" i="2"/>
  <c r="N901" i="2"/>
  <c r="O901" i="2" s="1"/>
  <c r="N469" i="2"/>
  <c r="O469" i="2" s="1"/>
  <c r="N205" i="2"/>
  <c r="O205" i="2" s="1"/>
  <c r="N94" i="2"/>
  <c r="M646" i="2"/>
  <c r="M634" i="2"/>
  <c r="M622" i="2"/>
  <c r="M610" i="2"/>
  <c r="M586" i="2"/>
  <c r="M574" i="2"/>
  <c r="M562" i="2"/>
  <c r="M550" i="2"/>
  <c r="M538" i="2"/>
  <c r="M514" i="2"/>
  <c r="M502" i="2"/>
  <c r="M490" i="2"/>
  <c r="M478" i="2"/>
  <c r="M466" i="2"/>
  <c r="M442" i="2"/>
  <c r="M430" i="2"/>
  <c r="M418" i="2"/>
  <c r="M406" i="2"/>
  <c r="M394" i="2"/>
  <c r="M370" i="2"/>
  <c r="M358" i="2"/>
  <c r="M346" i="2"/>
  <c r="M334" i="2"/>
  <c r="M322" i="2"/>
  <c r="M298" i="2"/>
  <c r="M286" i="2"/>
  <c r="M274" i="2"/>
  <c r="M262" i="2"/>
  <c r="M250" i="2"/>
  <c r="M226" i="2"/>
  <c r="M214" i="2"/>
  <c r="M202" i="2"/>
  <c r="M190" i="2"/>
  <c r="M178" i="2"/>
  <c r="M166" i="2"/>
  <c r="M142" i="2"/>
  <c r="M130" i="2"/>
  <c r="M118" i="2"/>
  <c r="M82" i="2"/>
  <c r="N82" i="2"/>
  <c r="N997" i="2"/>
  <c r="O997" i="2" s="1"/>
  <c r="N985" i="2"/>
  <c r="O985" i="2" s="1"/>
  <c r="N889" i="2"/>
  <c r="O889" i="2" s="1"/>
  <c r="N841" i="2"/>
  <c r="O841" i="2" s="1"/>
  <c r="N793" i="2"/>
  <c r="O793" i="2" s="1"/>
  <c r="N757" i="2"/>
  <c r="O757" i="2" s="1"/>
  <c r="N697" i="2"/>
  <c r="O697" i="2" s="1"/>
  <c r="N685" i="2"/>
  <c r="O685" i="2" s="1"/>
  <c r="N637" i="2"/>
  <c r="O637" i="2" s="1"/>
  <c r="N613" i="2"/>
  <c r="O613" i="2" s="1"/>
  <c r="N589" i="2"/>
  <c r="O589" i="2" s="1"/>
  <c r="N553" i="2"/>
  <c r="O553" i="2" s="1"/>
  <c r="N433" i="2"/>
  <c r="O433" i="2" s="1"/>
  <c r="N409" i="2"/>
  <c r="O409" i="2" s="1"/>
  <c r="N385" i="2"/>
  <c r="O385" i="2" s="1"/>
  <c r="N337" i="2"/>
  <c r="O337" i="2" s="1"/>
  <c r="N289" i="2"/>
  <c r="O289" i="2" s="1"/>
  <c r="N253" i="2"/>
  <c r="O253" i="2" s="1"/>
  <c r="N229" i="2"/>
  <c r="O229" i="2" s="1"/>
  <c r="N157" i="2"/>
  <c r="O157" i="2" s="1"/>
  <c r="N145" i="2"/>
  <c r="O145" i="2" s="1"/>
  <c r="N133" i="2"/>
  <c r="O133" i="2" s="1"/>
  <c r="N85" i="2"/>
  <c r="O85" i="2" s="1"/>
  <c r="N61" i="2"/>
  <c r="O61" i="2" s="1"/>
  <c r="N49" i="2"/>
  <c r="O49" i="2" s="1"/>
  <c r="M405" i="2"/>
  <c r="M333" i="2"/>
  <c r="M261" i="2"/>
  <c r="M189" i="2"/>
  <c r="M117" i="2"/>
  <c r="M45" i="2"/>
  <c r="M33" i="2"/>
  <c r="N972" i="2"/>
  <c r="N936" i="2"/>
  <c r="N888" i="2"/>
  <c r="N840" i="2"/>
  <c r="N828" i="2"/>
  <c r="N744" i="2"/>
  <c r="N732" i="2"/>
  <c r="N684" i="2"/>
  <c r="N636" i="2"/>
  <c r="N600" i="2"/>
  <c r="N540" i="2"/>
  <c r="N528" i="2"/>
  <c r="N480" i="2"/>
  <c r="N456" i="2"/>
  <c r="N432" i="2"/>
  <c r="N396" i="2"/>
  <c r="N336" i="2"/>
  <c r="N300" i="2"/>
  <c r="N276" i="2"/>
  <c r="N252" i="2"/>
  <c r="N228" i="2"/>
  <c r="N216" i="2"/>
  <c r="N180" i="2"/>
  <c r="N144" i="2"/>
  <c r="N132" i="2"/>
  <c r="N96" i="2"/>
  <c r="N72" i="2"/>
  <c r="N60" i="2"/>
  <c r="N48" i="2"/>
  <c r="N12" i="2"/>
  <c r="N106" i="2"/>
  <c r="N46" i="2"/>
  <c r="N329" i="2"/>
  <c r="N185" i="2"/>
  <c r="N125" i="2"/>
  <c r="N41" i="2"/>
  <c r="A6" i="2"/>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O235" i="2" l="1"/>
  <c r="O482" i="2"/>
  <c r="O381" i="2"/>
  <c r="O386" i="2"/>
  <c r="O498" i="2"/>
  <c r="O690" i="2"/>
  <c r="O302" i="2"/>
  <c r="O310" i="2"/>
  <c r="O163" i="2"/>
  <c r="O470" i="2"/>
  <c r="O990" i="2"/>
  <c r="O747" i="2"/>
  <c r="O151" i="2"/>
  <c r="O441" i="2"/>
  <c r="O463" i="2"/>
  <c r="O295" i="2"/>
  <c r="O114" i="2"/>
  <c r="O357" i="2"/>
  <c r="O199" i="2"/>
  <c r="O487" i="2"/>
  <c r="O439" i="2"/>
  <c r="O451" i="2"/>
  <c r="O489" i="2"/>
  <c r="O849" i="2"/>
  <c r="O423" i="2"/>
  <c r="O414" i="2"/>
  <c r="O475" i="2"/>
  <c r="O693" i="2"/>
  <c r="O513" i="2"/>
  <c r="O426" i="2"/>
  <c r="O705" i="2"/>
  <c r="O18" i="2"/>
  <c r="O894" i="2"/>
  <c r="O355" i="2"/>
  <c r="O930" i="2"/>
  <c r="O79" i="2"/>
  <c r="O573" i="2"/>
  <c r="O259" i="2"/>
  <c r="O403" i="2"/>
  <c r="O415" i="2"/>
  <c r="O283" i="2"/>
  <c r="O390" i="2"/>
  <c r="O307" i="2"/>
  <c r="O968" i="2"/>
  <c r="O909" i="2"/>
  <c r="O606" i="2"/>
  <c r="O198" i="2"/>
  <c r="O334" i="2"/>
  <c r="O178" i="2"/>
  <c r="O915" i="2"/>
  <c r="O190" i="2"/>
  <c r="O230" i="2"/>
  <c r="O39" i="2"/>
  <c r="O183" i="2"/>
  <c r="O327" i="2"/>
  <c r="O686" i="2"/>
  <c r="O354" i="2"/>
  <c r="O102" i="2"/>
  <c r="O570" i="2"/>
  <c r="O818" i="2"/>
  <c r="O622" i="2"/>
  <c r="O674" i="2"/>
  <c r="O726" i="2"/>
  <c r="O834" i="2"/>
  <c r="O466" i="2"/>
  <c r="O610" i="2"/>
  <c r="O330" i="2"/>
  <c r="O30" i="2"/>
  <c r="O26" i="2"/>
  <c r="O875" i="2"/>
  <c r="O134" i="2"/>
  <c r="O656" i="2"/>
  <c r="O689" i="2"/>
  <c r="O881" i="2"/>
  <c r="O44" i="2"/>
  <c r="O165" i="2"/>
  <c r="O9" i="2"/>
  <c r="O954" i="2"/>
  <c r="O774" i="2"/>
  <c r="O225" i="2"/>
  <c r="O478" i="2"/>
  <c r="O931" i="2"/>
  <c r="O438" i="2"/>
  <c r="O474" i="2"/>
  <c r="O702" i="2"/>
  <c r="O270" i="2"/>
  <c r="O777" i="2"/>
  <c r="O174" i="2"/>
  <c r="O966" i="2"/>
  <c r="O78" i="2"/>
  <c r="O534" i="2"/>
  <c r="O993" i="2"/>
  <c r="O246" i="2"/>
  <c r="O558" i="2"/>
  <c r="O786" i="2"/>
  <c r="O68" i="2"/>
  <c r="O900" i="2"/>
  <c r="O264" i="2"/>
  <c r="O394" i="2"/>
  <c r="O227" i="2"/>
  <c r="O680" i="2"/>
  <c r="O418" i="2"/>
  <c r="O442" i="2"/>
  <c r="O703" i="2"/>
  <c r="O562" i="2"/>
  <c r="O406" i="2"/>
  <c r="O574" i="2"/>
  <c r="O911" i="2"/>
  <c r="O586" i="2"/>
  <c r="O454" i="2"/>
  <c r="O603" i="2"/>
  <c r="O598" i="2"/>
  <c r="O322" i="2"/>
  <c r="O166" i="2"/>
  <c r="O477" i="2"/>
  <c r="O274" i="2"/>
  <c r="O728" i="2"/>
  <c r="O921" i="2"/>
  <c r="O130" i="2"/>
  <c r="O298" i="2"/>
  <c r="O899" i="2"/>
  <c r="O459" i="2"/>
  <c r="O131" i="2"/>
  <c r="O57" i="2"/>
  <c r="O969" i="2"/>
  <c r="O812" i="2"/>
  <c r="O286" i="2"/>
  <c r="O33" i="2"/>
  <c r="O752" i="2"/>
  <c r="O739" i="2"/>
  <c r="O561" i="2"/>
  <c r="O93" i="2"/>
  <c r="O262" i="2"/>
  <c r="O717" i="2"/>
  <c r="O416" i="2"/>
  <c r="O182" i="2"/>
  <c r="O531" i="2"/>
  <c r="O285" i="2"/>
  <c r="O108" i="2"/>
  <c r="O338" i="2"/>
  <c r="O189" i="2"/>
  <c r="O56" i="2"/>
  <c r="O428" i="2"/>
  <c r="O200" i="2"/>
  <c r="O566" i="2"/>
  <c r="O988" i="2"/>
  <c r="O741" i="2"/>
  <c r="O154" i="2"/>
  <c r="O27" i="2"/>
  <c r="O171" i="2"/>
  <c r="O315" i="2"/>
  <c r="O258" i="2"/>
  <c r="O846" i="2"/>
  <c r="O712" i="2"/>
  <c r="O527" i="2"/>
  <c r="O863" i="2"/>
  <c r="O632" i="2"/>
  <c r="O829" i="2"/>
  <c r="O664" i="2"/>
  <c r="O602" i="2"/>
  <c r="O455" i="2"/>
  <c r="O933" i="2"/>
  <c r="O866" i="2"/>
  <c r="O555" i="2"/>
  <c r="O552" i="2"/>
  <c r="O828" i="2"/>
  <c r="O250" i="2"/>
  <c r="O914" i="2"/>
  <c r="O691" i="2"/>
  <c r="O53" i="2"/>
  <c r="O353" i="2"/>
  <c r="O410" i="2"/>
  <c r="O518" i="2"/>
  <c r="O238" i="2"/>
  <c r="O605" i="2"/>
  <c r="O430" i="2"/>
  <c r="O393" i="2"/>
  <c r="O420" i="2"/>
  <c r="O615" i="2"/>
  <c r="O524" i="2"/>
  <c r="O142" i="2"/>
  <c r="O471" i="2"/>
  <c r="O45" i="2"/>
  <c r="O903" i="2"/>
  <c r="O373" i="2"/>
  <c r="O986" i="2"/>
  <c r="O226" i="2"/>
  <c r="O206" i="2"/>
  <c r="O214" i="2"/>
  <c r="O276" i="2"/>
  <c r="O696" i="2"/>
  <c r="O744" i="2"/>
  <c r="O382" i="2"/>
  <c r="O549" i="2"/>
  <c r="O197" i="2"/>
  <c r="O780" i="2"/>
  <c r="O965" i="2"/>
  <c r="O979" i="2"/>
  <c r="O408" i="2"/>
  <c r="O118" i="2"/>
  <c r="O640" i="2"/>
  <c r="O840" i="2"/>
  <c r="O324" i="2"/>
  <c r="O627" i="2"/>
  <c r="O336" i="2"/>
  <c r="O669" i="2"/>
  <c r="O681" i="2"/>
  <c r="O138" i="2"/>
  <c r="O736" i="2"/>
  <c r="O10" i="2"/>
  <c r="O34" i="2"/>
  <c r="O96" i="2"/>
  <c r="O266" i="2"/>
  <c r="O646" i="2"/>
  <c r="O953" i="2"/>
  <c r="O447" i="2"/>
  <c r="O867" i="2"/>
  <c r="O989" i="2"/>
  <c r="O923" i="2"/>
  <c r="O58" i="2"/>
  <c r="O770" i="2"/>
  <c r="O242" i="2"/>
  <c r="O526" i="2"/>
  <c r="O879" i="2"/>
  <c r="O383" i="2"/>
  <c r="O70" i="2"/>
  <c r="O432" i="2"/>
  <c r="O492" i="2"/>
  <c r="O634" i="2"/>
  <c r="O144" i="2"/>
  <c r="O84" i="2"/>
  <c r="O176" i="2"/>
  <c r="O629" i="2"/>
  <c r="O974" i="2"/>
  <c r="O251" i="2"/>
  <c r="O614" i="2"/>
  <c r="O41" i="2"/>
  <c r="O346" i="2"/>
  <c r="O472" i="2"/>
  <c r="O575" i="2"/>
  <c r="O609" i="2"/>
  <c r="O275" i="2"/>
  <c r="O662" i="2"/>
  <c r="O842" i="2"/>
  <c r="O502" i="2"/>
  <c r="O514" i="2"/>
  <c r="O291" i="2"/>
  <c r="O358" i="2"/>
  <c r="O638" i="2"/>
  <c r="O240" i="2"/>
  <c r="O873" i="2"/>
  <c r="O490" i="2"/>
  <c r="O281" i="2"/>
  <c r="O147" i="2"/>
  <c r="O538" i="2"/>
  <c r="O159" i="2"/>
  <c r="O723" i="2"/>
  <c r="O280" i="2"/>
  <c r="O202" i="2"/>
  <c r="O370" i="2"/>
  <c r="O550" i="2"/>
  <c r="O735" i="2"/>
  <c r="O161" i="2"/>
  <c r="O593" i="2"/>
  <c r="O804" i="2"/>
  <c r="O733" i="2"/>
  <c r="O167" i="2"/>
  <c r="O496" i="2"/>
  <c r="O832" i="2"/>
  <c r="O365" i="2"/>
  <c r="O835" i="2"/>
  <c r="O663" i="2"/>
  <c r="O585" i="2"/>
  <c r="O523" i="2"/>
  <c r="O51" i="2"/>
  <c r="O339" i="2"/>
  <c r="O535" i="2"/>
  <c r="O80" i="2"/>
  <c r="O72" i="2"/>
  <c r="O384" i="2"/>
  <c r="O364" i="2"/>
  <c r="O941" i="2"/>
  <c r="O388" i="2"/>
  <c r="O802" i="2"/>
  <c r="O864" i="2"/>
  <c r="O936" i="2"/>
  <c r="O893" i="2"/>
  <c r="O791" i="2"/>
  <c r="O372" i="2"/>
  <c r="O581" i="2"/>
  <c r="O554" i="2"/>
  <c r="O771" i="2"/>
  <c r="O405" i="2"/>
  <c r="O60" i="2"/>
  <c r="O24" i="2"/>
  <c r="O618" i="2"/>
  <c r="O221" i="2"/>
  <c r="O278" i="2"/>
  <c r="O707" i="2"/>
  <c r="O945" i="2"/>
  <c r="O590" i="2"/>
  <c r="O195" i="2"/>
  <c r="O497" i="2"/>
  <c r="O483" i="2"/>
  <c r="O962" i="2"/>
  <c r="O617" i="2"/>
  <c r="O898" i="2"/>
  <c r="O658" i="2"/>
  <c r="O808" i="2"/>
  <c r="O249" i="2"/>
  <c r="O244" i="2"/>
  <c r="O297" i="2"/>
  <c r="O722" i="2"/>
  <c r="O878" i="2"/>
  <c r="O599" i="2"/>
  <c r="O185" i="2"/>
  <c r="O654" i="2"/>
  <c r="O978" i="2"/>
  <c r="O88" i="2"/>
  <c r="O294" i="2"/>
  <c r="O671" i="2"/>
  <c r="O959" i="2"/>
  <c r="O718" i="2"/>
  <c r="O902" i="2"/>
  <c r="O661" i="2"/>
  <c r="O982" i="2"/>
  <c r="O946" i="2"/>
  <c r="O89" i="2"/>
  <c r="O996" i="2"/>
  <c r="O254" i="2"/>
  <c r="O124" i="2"/>
  <c r="O926" i="2"/>
  <c r="O111" i="2"/>
  <c r="O970" i="2"/>
  <c r="O36" i="2"/>
  <c r="O938" i="2"/>
  <c r="O743" i="2"/>
  <c r="O288" i="2"/>
  <c r="O547" i="2"/>
  <c r="O107" i="2"/>
  <c r="O215" i="2"/>
  <c r="O932" i="2"/>
  <c r="O850" i="2"/>
  <c r="O950" i="2"/>
  <c r="O578" i="2"/>
  <c r="O194" i="2"/>
  <c r="O623" i="2"/>
  <c r="O869" i="2"/>
  <c r="O874" i="2"/>
  <c r="O806" i="2"/>
  <c r="O348" i="2"/>
  <c r="O725" i="2"/>
  <c r="O282" i="2"/>
  <c r="O218" i="2"/>
  <c r="O191" i="2"/>
  <c r="O127" i="2"/>
  <c r="O929" i="2"/>
  <c r="O833" i="2"/>
  <c r="O708" i="2"/>
  <c r="O304" i="2"/>
  <c r="O425" i="2"/>
  <c r="O556" i="2"/>
  <c r="O485" i="2"/>
  <c r="O984" i="2"/>
  <c r="O768" i="2"/>
  <c r="O765" i="2"/>
  <c r="O422" i="2"/>
  <c r="O785" i="2"/>
  <c r="O994" i="2"/>
  <c r="O783" i="2"/>
  <c r="O1000" i="2"/>
  <c r="O506" i="2"/>
  <c r="O119" i="2"/>
  <c r="O515" i="2"/>
  <c r="O827" i="2"/>
  <c r="O424" i="2"/>
  <c r="O92" i="2"/>
  <c r="O299" i="2"/>
  <c r="O947" i="2"/>
  <c r="O210" i="2"/>
  <c r="O647" i="2"/>
  <c r="O63" i="2"/>
  <c r="O763" i="2"/>
  <c r="O136" i="2"/>
  <c r="O110" i="2"/>
  <c r="O412" i="2"/>
  <c r="O287" i="2"/>
  <c r="O135" i="2"/>
  <c r="O279" i="2"/>
  <c r="O676" i="2"/>
  <c r="O150" i="2"/>
  <c r="O611" i="2"/>
  <c r="O887" i="2"/>
  <c r="O464" i="2"/>
  <c r="O884" i="2"/>
  <c r="O155" i="2"/>
  <c r="O158" i="2"/>
  <c r="O52" i="2"/>
  <c r="O340" i="2"/>
  <c r="O789" i="2"/>
  <c r="O69" i="2"/>
  <c r="O15" i="2"/>
  <c r="O303" i="2"/>
  <c r="O351" i="2"/>
  <c r="O318" i="2"/>
  <c r="O399" i="2"/>
  <c r="O19" i="2"/>
  <c r="O582" i="2"/>
  <c r="O440" i="2"/>
  <c r="O935" i="2"/>
  <c r="O252" i="2"/>
  <c r="O290" i="2"/>
  <c r="O495" i="2"/>
  <c r="O688" i="2"/>
  <c r="O476" i="2"/>
  <c r="O795" i="2"/>
  <c r="O952" i="2"/>
  <c r="O890" i="2"/>
  <c r="O62" i="2"/>
  <c r="O871" i="2"/>
  <c r="O271" i="2"/>
  <c r="O86" i="2"/>
  <c r="O417" i="2"/>
  <c r="O237" i="2"/>
  <c r="O74" i="2"/>
  <c r="O46" i="2"/>
  <c r="O333" i="2"/>
  <c r="O798" i="2"/>
  <c r="O444" i="2"/>
  <c r="O398" i="2"/>
  <c r="O942" i="2"/>
  <c r="O532" i="2"/>
  <c r="O740" i="2"/>
  <c r="O207" i="2"/>
  <c r="O100" i="2"/>
  <c r="O212" i="2"/>
  <c r="O98" i="2"/>
  <c r="O156" i="2"/>
  <c r="O326" i="2"/>
  <c r="O639" i="2"/>
  <c r="O400" i="2"/>
  <c r="O843" i="2"/>
  <c r="O778" i="2"/>
  <c r="O479" i="2"/>
  <c r="O787" i="2"/>
  <c r="O836" i="2"/>
  <c r="O122" i="2"/>
  <c r="O316" i="2"/>
  <c r="O748" i="2"/>
  <c r="O588" i="2"/>
  <c r="O684" i="2"/>
  <c r="O461" i="2"/>
  <c r="O732" i="2"/>
  <c r="O521" i="2"/>
  <c r="O378" i="2"/>
  <c r="O168" i="2"/>
  <c r="O711" i="2"/>
  <c r="O12" i="2"/>
  <c r="O810" i="2"/>
  <c r="O660" i="2"/>
  <c r="O927" i="2"/>
  <c r="O764" i="2"/>
  <c r="O48" i="2"/>
  <c r="O822" i="2"/>
  <c r="O672" i="2"/>
  <c r="O998" i="2"/>
  <c r="O203" i="2"/>
  <c r="O635" i="2"/>
  <c r="O648" i="2"/>
  <c r="O797" i="2"/>
  <c r="O213" i="2"/>
  <c r="O854" i="2"/>
  <c r="O701" i="2"/>
  <c r="O345" i="2"/>
  <c r="O888" i="2"/>
  <c r="O331" i="2"/>
  <c r="O1004" i="2"/>
  <c r="O775" i="2"/>
  <c r="O148" i="2"/>
  <c r="O957" i="2"/>
  <c r="O456" i="2"/>
  <c r="O319" i="2"/>
  <c r="O991" i="2"/>
  <c r="O192" i="2"/>
  <c r="O263" i="2"/>
  <c r="O567" i="2"/>
  <c r="O762" i="2"/>
  <c r="O1002" i="2"/>
  <c r="O955" i="2"/>
  <c r="O652" i="2"/>
  <c r="O856" i="2"/>
  <c r="O907" i="2"/>
  <c r="O737" i="2"/>
  <c r="O591" i="2"/>
  <c r="O20" i="2"/>
  <c r="O392" i="2"/>
  <c r="O776" i="2"/>
  <c r="O816" i="2"/>
  <c r="O960" i="2"/>
  <c r="O35" i="2"/>
  <c r="O419" i="2"/>
  <c r="O537" i="2"/>
  <c r="O369" i="2"/>
  <c r="O727" i="2"/>
  <c r="O22" i="2"/>
  <c r="O31" i="2"/>
  <c r="O716" i="2"/>
  <c r="O66" i="2"/>
  <c r="O855" i="2"/>
  <c r="O1003" i="2"/>
  <c r="O999" i="2"/>
  <c r="O992" i="2"/>
  <c r="O972" i="2"/>
  <c r="O17" i="2"/>
  <c r="O579" i="2"/>
  <c r="O436" i="2"/>
  <c r="O880" i="2"/>
  <c r="O65" i="2"/>
  <c r="O624" i="2"/>
  <c r="O32" i="2"/>
  <c r="O236" i="2"/>
  <c r="O800" i="2"/>
  <c r="O341" i="2"/>
  <c r="O910" i="2"/>
  <c r="O830" i="2"/>
  <c r="O269" i="2"/>
  <c r="O657" i="2"/>
  <c r="O597" i="2"/>
  <c r="O175" i="2"/>
  <c r="O255" i="2"/>
  <c r="O665" i="2"/>
  <c r="O749" i="2"/>
  <c r="O631" i="2"/>
  <c r="O536" i="2"/>
  <c r="O5" i="2"/>
  <c r="O480" i="2"/>
  <c r="O528" i="2"/>
  <c r="O564" i="2"/>
  <c r="O448" i="2"/>
  <c r="O872" i="2"/>
  <c r="O814" i="2"/>
  <c r="O912" i="2"/>
  <c r="O248" i="2"/>
  <c r="O608" i="2"/>
  <c r="O824" i="2"/>
  <c r="O473" i="2"/>
  <c r="O296" i="2"/>
  <c r="O177" i="2"/>
  <c r="O815" i="2"/>
  <c r="O731" i="2"/>
  <c r="O847" i="2"/>
  <c r="O396" i="2"/>
  <c r="O809" i="2"/>
  <c r="O223" i="2"/>
  <c r="O820" i="2"/>
  <c r="O314" i="2"/>
  <c r="O594" i="2"/>
  <c r="O125" i="2"/>
  <c r="O730" i="2"/>
  <c r="O16" i="2"/>
  <c r="O504" i="2"/>
  <c r="O260" i="2"/>
  <c r="O120" i="2"/>
  <c r="O300" i="2"/>
  <c r="O43" i="2"/>
  <c r="O434" i="2"/>
  <c r="O187" i="2"/>
  <c r="O823" i="2"/>
  <c r="O580" i="2"/>
  <c r="O924" i="2"/>
  <c r="O323" i="2"/>
  <c r="O886" i="2"/>
  <c r="O967" i="2"/>
  <c r="O592" i="2"/>
  <c r="O980" i="2"/>
  <c r="O683" i="2"/>
  <c r="O42" i="2"/>
  <c r="O844" i="2"/>
  <c r="O868" i="2"/>
  <c r="O679" i="2"/>
  <c r="O380" i="2"/>
  <c r="O983" i="2"/>
  <c r="O595" i="2"/>
  <c r="O132" i="2"/>
  <c r="O94" i="2"/>
  <c r="O149" i="2"/>
  <c r="O180" i="2"/>
  <c r="O540" i="2"/>
  <c r="O626" i="2"/>
  <c r="O222" i="2"/>
  <c r="O767" i="2"/>
  <c r="O216" i="2"/>
  <c r="O600" i="2"/>
  <c r="O117" i="2"/>
  <c r="O645" i="2"/>
  <c r="O754" i="2"/>
  <c r="O411" i="2"/>
  <c r="O831" i="2"/>
  <c r="O317" i="2"/>
  <c r="O160" i="2"/>
  <c r="O560" i="2"/>
  <c r="O329" i="2"/>
  <c r="O228" i="2"/>
  <c r="O636" i="2"/>
  <c r="O377" i="2"/>
  <c r="O21" i="2"/>
  <c r="O306" i="2"/>
  <c r="O499" i="2"/>
  <c r="O47" i="2"/>
  <c r="O839" i="2"/>
  <c r="O435" i="2"/>
  <c r="O366" i="2"/>
  <c r="O256" i="2"/>
  <c r="O724" i="2"/>
  <c r="O292" i="2"/>
  <c r="O505" i="2"/>
  <c r="O512" i="2"/>
  <c r="O272" i="2"/>
  <c r="O452" i="2"/>
  <c r="O860" i="2"/>
  <c r="O848" i="2"/>
  <c r="O659" i="2"/>
  <c r="O633" i="2"/>
  <c r="O694" i="2"/>
  <c r="O710" i="2"/>
  <c r="O891" i="2"/>
  <c r="O224" i="2"/>
  <c r="O511" i="2"/>
  <c r="O811" i="2"/>
  <c r="O363" i="2"/>
  <c r="O651" i="2"/>
  <c r="O219" i="2"/>
  <c r="O563" i="2"/>
  <c r="O922" i="2"/>
  <c r="O895" i="2"/>
  <c r="O362" i="2"/>
  <c r="O99" i="2"/>
  <c r="O559" i="2"/>
  <c r="O350" i="2"/>
  <c r="O583" i="2"/>
  <c r="O140" i="2"/>
  <c r="O320" i="2"/>
  <c r="O488" i="2"/>
  <c r="O692" i="2"/>
  <c r="O920" i="2"/>
  <c r="O530" i="2"/>
  <c r="O128" i="2"/>
  <c r="O837" i="2"/>
  <c r="O453" i="2"/>
  <c r="O758" i="2"/>
  <c r="O446" i="2"/>
  <c r="O971" i="2"/>
  <c r="O123" i="2"/>
  <c r="O267" i="2"/>
  <c r="O675" i="2"/>
  <c r="O468" i="2"/>
  <c r="O700" i="2"/>
  <c r="O401" i="2"/>
  <c r="O209" i="2"/>
  <c r="O706" i="2"/>
  <c r="O371" i="2"/>
  <c r="O152" i="2"/>
  <c r="O332" i="2"/>
  <c r="O500" i="2"/>
  <c r="O944" i="2"/>
  <c r="O756" i="2"/>
  <c r="O861" i="2"/>
  <c r="O465" i="2"/>
  <c r="O173" i="2"/>
  <c r="O81" i="2"/>
  <c r="O655" i="2"/>
  <c r="O807" i="2"/>
  <c r="O643" i="2"/>
  <c r="O342" i="2"/>
  <c r="O116" i="2"/>
  <c r="O616" i="2"/>
  <c r="O105" i="2"/>
  <c r="O494" i="2"/>
  <c r="O143" i="2"/>
  <c r="O551" i="2"/>
  <c r="O699" i="2"/>
  <c r="O821" i="2"/>
  <c r="O908" i="2"/>
  <c r="O742" i="2"/>
  <c r="O164" i="2"/>
  <c r="O344" i="2"/>
  <c r="O956" i="2"/>
  <c r="O71" i="2"/>
  <c r="O356" i="2"/>
  <c r="O782" i="2"/>
  <c r="O501" i="2"/>
  <c r="O753" i="2"/>
  <c r="O715" i="2"/>
  <c r="O571" i="2"/>
  <c r="O231" i="2"/>
  <c r="O104" i="2"/>
  <c r="O825" i="2"/>
  <c r="O619" i="2"/>
  <c r="O667" i="2"/>
  <c r="O179" i="2"/>
  <c r="O587" i="2"/>
  <c r="O964" i="2"/>
  <c r="O569" i="2"/>
  <c r="O859" i="2"/>
  <c r="O376" i="2"/>
  <c r="O245" i="2"/>
  <c r="O687" i="2"/>
  <c r="O368" i="2"/>
  <c r="O467" i="2"/>
  <c r="O404" i="2"/>
  <c r="O981" i="2"/>
  <c r="O862" i="2"/>
  <c r="O838" i="2"/>
  <c r="O794" i="2"/>
  <c r="O261" i="2"/>
  <c r="O375" i="2"/>
  <c r="O374" i="2"/>
  <c r="O23" i="2"/>
  <c r="O387" i="2"/>
  <c r="O801" i="2"/>
  <c r="O247" i="2"/>
  <c r="O976" i="2"/>
  <c r="O427" i="2"/>
  <c r="O8" i="2"/>
  <c r="O188" i="2"/>
  <c r="O548" i="2"/>
  <c r="O172" i="2"/>
  <c r="O95" i="2"/>
  <c r="O851" i="2"/>
  <c r="O620" i="2"/>
  <c r="O141" i="2"/>
  <c r="O106" i="2"/>
  <c r="O516" i="2"/>
  <c r="O284" i="2"/>
  <c r="O243" i="2"/>
  <c r="O546" i="2"/>
  <c r="O943" i="2"/>
  <c r="O507" i="2"/>
  <c r="O987" i="2"/>
  <c r="O572" i="2"/>
  <c r="O491" i="2"/>
  <c r="O704" i="2"/>
  <c r="O751" i="2"/>
  <c r="O621" i="2"/>
  <c r="O75" i="2"/>
  <c r="O939" i="2"/>
  <c r="O883" i="2"/>
  <c r="O750" i="2"/>
  <c r="O87" i="2"/>
  <c r="O668" i="2"/>
  <c r="O734" i="2"/>
  <c r="O963" i="2"/>
  <c r="O308" i="2"/>
  <c r="O896" i="2"/>
  <c r="O813" i="2"/>
  <c r="O746" i="2"/>
  <c r="O975" i="2"/>
  <c r="O129" i="2"/>
  <c r="O90" i="2"/>
  <c r="O522" i="2"/>
  <c r="O321" i="2"/>
  <c r="O126" i="2"/>
  <c r="O934" i="2"/>
  <c r="O919" i="2"/>
  <c r="O14" i="2"/>
  <c r="O542" i="2"/>
  <c r="O162" i="2"/>
  <c r="O519" i="2"/>
  <c r="O951" i="2"/>
  <c r="O38" i="2"/>
  <c r="O7" i="2"/>
  <c r="O239" i="2"/>
  <c r="O543" i="2"/>
  <c r="O112" i="2"/>
  <c r="O352" i="2"/>
  <c r="O568" i="2"/>
  <c r="O796" i="2"/>
  <c r="O641" i="2"/>
  <c r="O682" i="2"/>
  <c r="O596" i="2"/>
  <c r="O503" i="2"/>
  <c r="O803" i="2"/>
  <c r="O584" i="2"/>
  <c r="O268" i="2"/>
  <c r="O788" i="2"/>
  <c r="O759" i="2"/>
  <c r="O852" i="2"/>
  <c r="O77" i="2"/>
  <c r="O201" i="2"/>
  <c r="O799" i="2"/>
  <c r="O29" i="2"/>
  <c r="O186" i="2"/>
  <c r="O25" i="2"/>
  <c r="O892" i="2"/>
  <c r="O379" i="2"/>
  <c r="O208" i="2"/>
  <c r="O644" i="2"/>
  <c r="O738" i="2"/>
  <c r="O766" i="2"/>
  <c r="O67" i="2"/>
  <c r="O170" i="2"/>
  <c r="O695" i="2"/>
  <c r="O486" i="2"/>
  <c r="O906" i="2"/>
  <c r="O220" i="2"/>
  <c r="O904" i="2"/>
  <c r="O545" i="2"/>
  <c r="O628" i="2"/>
  <c r="O653" i="2"/>
  <c r="O670" i="2"/>
  <c r="O431" i="2"/>
  <c r="O311" i="2"/>
  <c r="O876" i="2"/>
  <c r="O576" i="2"/>
  <c r="O343" i="2"/>
  <c r="O146" i="2"/>
  <c r="O714" i="2"/>
  <c r="O91" i="2"/>
  <c r="O335" i="2"/>
  <c r="O719" i="2"/>
  <c r="O28" i="2"/>
  <c r="O232" i="2"/>
  <c r="O484" i="2"/>
  <c r="O916" i="2"/>
  <c r="O773" i="2"/>
  <c r="O539" i="2"/>
  <c r="O612" i="2"/>
  <c r="O525" i="2"/>
  <c r="O103" i="2"/>
  <c r="O359" i="2"/>
  <c r="O40" i="2"/>
  <c r="O508" i="2"/>
  <c r="O928" i="2"/>
  <c r="O784" i="2"/>
  <c r="O312" i="2"/>
  <c r="O604" i="2"/>
  <c r="O367" i="2"/>
  <c r="O958" i="2"/>
  <c r="O790" i="2"/>
  <c r="O826" i="2"/>
  <c r="O395" i="2"/>
  <c r="O520" i="2"/>
  <c r="O642" i="2"/>
  <c r="O720" i="2"/>
  <c r="O449" i="2"/>
  <c r="O666" i="2"/>
  <c r="O450" i="2"/>
  <c r="O184" i="2"/>
  <c r="O196" i="2"/>
  <c r="O460" i="2"/>
  <c r="O234" i="2"/>
  <c r="O55" i="2"/>
  <c r="O11" i="2"/>
  <c r="O64" i="2"/>
  <c r="O462" i="2"/>
  <c r="O407" i="2"/>
  <c r="O76" i="2"/>
  <c r="O760" i="2"/>
  <c r="O940" i="2"/>
  <c r="O510" i="2"/>
  <c r="O870" i="2"/>
  <c r="O211" i="2"/>
  <c r="O391" i="2"/>
  <c r="O83" i="2"/>
  <c r="O607" i="2"/>
  <c r="O328" i="2"/>
  <c r="O544" i="2"/>
  <c r="O772" i="2"/>
  <c r="O257" i="2"/>
  <c r="O413" i="2"/>
  <c r="O845" i="2"/>
  <c r="O113" i="2"/>
  <c r="O755" i="2"/>
  <c r="O995" i="2"/>
  <c r="O533" i="2"/>
  <c r="O897" i="2"/>
  <c r="O50" i="2"/>
  <c r="O917" i="2"/>
  <c r="O109" i="2"/>
  <c r="O82" i="2"/>
  <c r="O437" i="2"/>
  <c r="O347" i="2"/>
  <c r="O101" i="2"/>
  <c r="O541" i="2"/>
  <c r="O309" i="2"/>
  <c r="O493" i="2"/>
  <c r="O301" i="2"/>
  <c r="O792" i="2"/>
  <c r="O402" i="2"/>
  <c r="O882" i="2"/>
  <c r="O389" i="2"/>
  <c r="O509" i="2"/>
  <c r="O857" i="2"/>
  <c r="O233" i="2"/>
  <c r="O625" i="2"/>
  <c r="O853" i="2"/>
  <c r="O913" i="2"/>
  <c r="O729" i="2"/>
  <c r="O443" i="2"/>
  <c r="O779" i="2"/>
  <c r="O193" i="2"/>
  <c r="O865" i="2"/>
  <c r="O429" i="2"/>
  <c r="O481" i="2"/>
  <c r="O153" i="2"/>
  <c r="O649" i="2"/>
  <c r="O698" i="2"/>
  <c r="O360" i="2"/>
  <c r="O293" i="2"/>
  <c r="O885" i="2"/>
  <c r="O305" i="2"/>
  <c r="O273" i="2"/>
  <c r="O713" i="2"/>
  <c r="O137" i="2"/>
  <c r="O977" i="2"/>
  <c r="O204" i="2"/>
  <c r="O948" i="2"/>
  <c r="O650" i="2"/>
  <c r="O6" i="2"/>
  <c r="O630" i="2"/>
  <c r="O918" i="2"/>
  <c r="O557" i="2"/>
  <c r="O761" i="2"/>
  <c r="O905" i="2"/>
  <c r="O1001" i="2"/>
  <c r="O677" i="2"/>
  <c r="O241" i="2"/>
  <c r="O59" i="2"/>
  <c r="O73" i="2"/>
  <c r="O397" i="2"/>
  <c r="O877" i="2"/>
</calcChain>
</file>

<file path=xl/sharedStrings.xml><?xml version="1.0" encoding="utf-8"?>
<sst xmlns="http://schemas.openxmlformats.org/spreadsheetml/2006/main" count="26" uniqueCount="17">
  <si>
    <t>Traditional</t>
  </si>
  <si>
    <t>Innovative</t>
  </si>
  <si>
    <t>Choice</t>
  </si>
  <si>
    <t>MIN</t>
  </si>
  <si>
    <t>REL</t>
  </si>
  <si>
    <t>COST</t>
  </si>
  <si>
    <t>ASA</t>
  </si>
  <si>
    <t>Alternatives</t>
  </si>
  <si>
    <t>Attributes</t>
  </si>
  <si>
    <t>Respondents</t>
  </si>
  <si>
    <t>Values of attributes</t>
  </si>
  <si>
    <t>BETAS?????</t>
  </si>
  <si>
    <t>Probability (by model)</t>
  </si>
  <si>
    <t>systematic utility</t>
  </si>
  <si>
    <t>Probability</t>
  </si>
  <si>
    <t>Ln(p)</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</si>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</sst>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3" borderId="1" xfId="0" applyFill="1" applyBorder="1" applyAlignment="1">
      <alignment horizontal="center" vertical="center"/>
    </xf>
    <xf numFmtId="164" fontId="0" fillId="0" borderId="0" xfId="0" applyNumberFormat="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176213</xdr:colOff>
      <xdr:row>0</xdr:row>
      <xdr:rowOff>125413</xdr:rowOff>
    </xdr:from>
    <xdr:to>
      <xdr:col>23</xdr:col>
      <xdr:colOff>180975</xdr:colOff>
      <xdr:row>29</xdr:row>
      <xdr:rowOff>96838</xdr:rowOff>
    </xdr:to>
    <xdr:sp macro="" textlink="">
      <xdr:nvSpPr>
        <xdr:cNvPr id="2" name="CasellaDiTesto 1">
          <a:extLst>
            <a:ext uri="{FF2B5EF4-FFF2-40B4-BE49-F238E27FC236}">
              <a16:creationId xmlns:a16="http://schemas.microsoft.com/office/drawing/2014/main" id="{1B7456C7-82AD-C814-2950-4CCF7B58FC12}"/>
            </a:ext>
          </a:extLst>
        </xdr:cNvPr>
        <xdr:cNvSpPr txBox="1"/>
      </xdr:nvSpPr>
      <xdr:spPr>
        <a:xfrm>
          <a:off x="6627813" y="125413"/>
          <a:ext cx="4938712" cy="5311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kern="1200"/>
            <a:t>A new delivery service is to be introduced to the market. The service is aimed at a specific segment within the luxury goods market. In particular, we want to understand the potential customer acceptance of a delivery service for small to medium-sized luxury gifts (e.g. jewellery products), operated with drones. </a:t>
          </a:r>
          <a:br>
            <a:rPr lang="en-GB" sz="1100" kern="1200"/>
          </a:br>
          <a:br>
            <a:rPr lang="en-GB" sz="1100" kern="1200"/>
          </a:br>
          <a:r>
            <a:rPr lang="en-GB" sz="1100" kern="1200"/>
            <a:t>The service offered can be requested by customers of luxury objects to be delivered to the final user of the gift with an alternative system to traditional delivery. The service allows the person who has purchased the item and wants it delivered to the gift recipient to communicate through the actual place of delivery a very short time in advance of the time of delivery.</a:t>
          </a:r>
          <a:br>
            <a:rPr lang="en-GB" sz="1100" kern="1200"/>
          </a:br>
          <a:r>
            <a:rPr lang="en-GB" sz="1100" kern="1200"/>
            <a:t>In this way it is possible to pleasantly surprise the gift recipient and add an additional element of enjoyment to the gift.</a:t>
          </a:r>
          <a:br>
            <a:rPr lang="en-GB" sz="1100" kern="1200"/>
          </a:br>
          <a:br>
            <a:rPr lang="en-GB" sz="1100" kern="1200"/>
          </a:br>
          <a:r>
            <a:rPr lang="en-GB" sz="1100" kern="1200"/>
            <a:t>The service is offered as an alternative to delivery by traditional means. Delivery by traditional means is characterised by the possibility of communicating the exact place of delivery less in advance, thus losing control over the time and place of delivery. The cost of the drone delivery service can on average be lower than the cost of delivery by traditional means because it does not commit a driver to cover a stretch of road that on some occasions can be particularly long and busy. The drone, on the other hand, allows straight-line delivery with less variable costs and using an operator who manoeuvres more conveniently from the system's control centre. Compared to the traditional means of delivery, drone delivery is more sensitive to weather conditions and can be cancelled in the event of adverse conditions, leaving the customer with only the alternative of traditional transport.</a:t>
          </a:r>
          <a:br>
            <a:rPr lang="en-GB" sz="1100" kern="1200"/>
          </a:br>
          <a:br>
            <a:rPr lang="en-GB" sz="1100" kern="1200"/>
          </a:br>
          <a:r>
            <a:rPr lang="en-GB" sz="1100" kern="1200"/>
            <a:t>The aim is to discover and shape the preferences of potential customers as they vary:</a:t>
          </a:r>
          <a:br>
            <a:rPr lang="en-GB" sz="1100" kern="1200"/>
          </a:br>
          <a:r>
            <a:rPr lang="en-GB" sz="1100" kern="1200"/>
            <a:t>1) the price level at which innovative and traditional systems could be offered;</a:t>
          </a:r>
          <a:br>
            <a:rPr lang="en-GB" sz="1100" kern="1200"/>
          </a:br>
          <a:r>
            <a:rPr lang="en-GB" sz="1100" kern="1200"/>
            <a:t>2) of the reduction of the advance notice time of the exact delivery location;</a:t>
          </a:r>
          <a:br>
            <a:rPr lang="en-GB" sz="1100" kern="1200"/>
          </a:br>
          <a:r>
            <a:rPr lang="en-GB" sz="1100" kern="1200"/>
            <a:t>3) the reliability of the service with respect to weather conditions.</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4584-C9A0-4BAD-A6CA-FC0D3B2ECDF6}">
  <dimension ref="A1:Q1009"/>
  <sheetViews>
    <sheetView tabSelected="1" zoomScaleNormal="100" workbookViewId="0">
      <selection activeCell="Q3" sqref="Q3"/>
    </sheetView>
  </sheetViews>
  <sheetFormatPr defaultRowHeight="14.4" x14ac:dyDescent="0.3"/>
  <cols>
    <col min="1" max="1" width="11" bestFit="1" customWidth="1"/>
    <col min="2" max="2" width="8" style="1" customWidth="1"/>
    <col min="6" max="6" width="13.6640625" customWidth="1"/>
    <col min="7" max="8" width="8" style="1" customWidth="1"/>
    <col min="11" max="12" width="10.109375" bestFit="1" customWidth="1"/>
    <col min="13" max="13" width="12.21875" bestFit="1" customWidth="1"/>
    <col min="14" max="14" width="10.109375" bestFit="1" customWidth="1"/>
    <col min="15" max="15" width="12.21875" bestFit="1" customWidth="1"/>
    <col min="19" max="19" width="27" customWidth="1"/>
  </cols>
  <sheetData>
    <row r="1" spans="1:17" ht="15.75" customHeight="1" x14ac:dyDescent="0.3">
      <c r="A1" s="2" t="s">
        <v>7</v>
      </c>
      <c r="B1" s="8" t="s">
        <v>1</v>
      </c>
      <c r="C1" s="8"/>
      <c r="D1" s="8"/>
      <c r="E1" s="8"/>
      <c r="F1" s="8" t="s">
        <v>0</v>
      </c>
      <c r="G1" s="8"/>
      <c r="H1" s="8"/>
      <c r="I1" s="8" t="s">
        <v>2</v>
      </c>
      <c r="J1" s="8"/>
      <c r="K1" s="7" t="s">
        <v>13</v>
      </c>
      <c r="L1" s="7"/>
      <c r="M1" s="7" t="s">
        <v>12</v>
      </c>
      <c r="N1" s="7"/>
      <c r="O1" s="6" t="s">
        <v>14</v>
      </c>
      <c r="P1" s="6" t="s">
        <v>15</v>
      </c>
      <c r="Q1" s="5" t="s">
        <v>16</v>
      </c>
    </row>
    <row r="2" spans="1:17" x14ac:dyDescent="0.3">
      <c r="A2" s="2" t="s">
        <v>8</v>
      </c>
      <c r="B2" s="3" t="s">
        <v>3</v>
      </c>
      <c r="C2" s="3" t="s">
        <v>4</v>
      </c>
      <c r="D2" s="3" t="s">
        <v>5</v>
      </c>
      <c r="E2" s="3" t="s">
        <v>6</v>
      </c>
      <c r="F2" s="3" t="s">
        <v>3</v>
      </c>
      <c r="G2" s="3" t="s">
        <v>4</v>
      </c>
      <c r="H2" s="3" t="s">
        <v>5</v>
      </c>
      <c r="I2" s="8" t="s">
        <v>1</v>
      </c>
      <c r="J2" s="8" t="s">
        <v>0</v>
      </c>
      <c r="K2" s="8" t="s">
        <v>0</v>
      </c>
      <c r="L2" s="8" t="s">
        <v>1</v>
      </c>
      <c r="M2" s="8" t="s">
        <v>0</v>
      </c>
      <c r="N2" s="8" t="s">
        <v>1</v>
      </c>
      <c r="O2" s="6"/>
      <c r="P2" s="6"/>
      <c r="Q2">
        <f>SUM(P5:P1004)</f>
        <v>-53.593860169707824</v>
      </c>
    </row>
    <row r="3" spans="1:17" x14ac:dyDescent="0.3">
      <c r="A3" s="2" t="s">
        <v>11</v>
      </c>
      <c r="B3" s="4">
        <v>0.26316889587700554</v>
      </c>
      <c r="C3" s="4">
        <v>-17.747761751861184</v>
      </c>
      <c r="D3" s="4">
        <v>1.7682666157843483</v>
      </c>
      <c r="E3" s="4">
        <v>2.512564763066059</v>
      </c>
      <c r="F3" s="3">
        <v>0.12706396206106435</v>
      </c>
      <c r="G3" s="3">
        <v>-14.154236325877115</v>
      </c>
      <c r="H3" s="3">
        <v>1.941651754191497</v>
      </c>
      <c r="I3" s="8"/>
      <c r="J3" s="8"/>
      <c r="K3" s="8"/>
      <c r="L3" s="8"/>
      <c r="M3" s="8"/>
      <c r="N3" s="8"/>
      <c r="O3" s="6"/>
      <c r="P3" s="6"/>
    </row>
    <row r="4" spans="1:17" ht="14.25" customHeight="1" x14ac:dyDescent="0.3">
      <c r="A4" s="2" t="s">
        <v>9</v>
      </c>
      <c r="B4" s="9" t="s">
        <v>10</v>
      </c>
      <c r="C4" s="9"/>
      <c r="D4" s="9"/>
      <c r="E4" s="9"/>
      <c r="F4" s="9"/>
      <c r="G4" s="9"/>
      <c r="H4" s="9"/>
      <c r="I4" s="8"/>
      <c r="J4" s="8"/>
      <c r="K4" s="8"/>
      <c r="L4" s="8"/>
      <c r="M4" s="8"/>
      <c r="N4" s="8"/>
      <c r="O4" s="6"/>
      <c r="P4" s="6"/>
    </row>
    <row r="5" spans="1:17" x14ac:dyDescent="0.3">
      <c r="A5" s="2">
        <v>1</v>
      </c>
      <c r="B5" s="2">
        <v>25</v>
      </c>
      <c r="C5" s="2">
        <v>0.6</v>
      </c>
      <c r="D5" s="2">
        <v>20</v>
      </c>
      <c r="E5" s="2">
        <v>1</v>
      </c>
      <c r="F5" s="2">
        <v>90</v>
      </c>
      <c r="G5" s="2">
        <v>0.9</v>
      </c>
      <c r="H5" s="2">
        <v>20</v>
      </c>
      <c r="I5" s="2">
        <v>1</v>
      </c>
      <c r="J5" s="2">
        <v>0</v>
      </c>
      <c r="K5">
        <f>$F$3*F5+$G$3*G5+$H$3*H5</f>
        <v>37.529978976036332</v>
      </c>
      <c r="L5">
        <f>$B$3*B5+$C$3*C5+$D$3*D5+$E$3*E5</f>
        <v>33.808462424561448</v>
      </c>
      <c r="M5">
        <f>EXP(K5)/(EXP(K5)+EXP(L5))</f>
        <v>0.97637443003251501</v>
      </c>
      <c r="N5">
        <f>EXP(L5)/(EXP(L5)+EXP(K5))</f>
        <v>2.3625569967485011E-2</v>
      </c>
      <c r="O5">
        <f>I5*M5+J5*N5</f>
        <v>0.97637443003251501</v>
      </c>
      <c r="P5">
        <f>LN(O5)</f>
        <v>-2.3909128810632386E-2</v>
      </c>
    </row>
    <row r="6" spans="1:17" ht="14.25" customHeight="1" x14ac:dyDescent="0.3">
      <c r="A6" s="2">
        <f>A5+1</f>
        <v>2</v>
      </c>
      <c r="B6" s="2">
        <v>25</v>
      </c>
      <c r="C6" s="2">
        <v>0.6</v>
      </c>
      <c r="D6" s="2">
        <v>25</v>
      </c>
      <c r="E6" s="2">
        <v>1</v>
      </c>
      <c r="F6" s="2">
        <v>45</v>
      </c>
      <c r="G6" s="2">
        <v>0.8</v>
      </c>
      <c r="H6" s="2">
        <v>40</v>
      </c>
      <c r="I6" s="2">
        <v>1</v>
      </c>
      <c r="J6" s="2">
        <v>0</v>
      </c>
      <c r="K6">
        <f t="shared" ref="K6:K69" si="0">$F$3*F6+$G$3*G6+$H$3*H6</f>
        <v>72.060559399706079</v>
      </c>
      <c r="L6">
        <f t="shared" ref="L6:L69" si="1">$B$3*B6+$C$3*C6+$D$3*D6+$E$3*E6</f>
        <v>42.649795503483197</v>
      </c>
      <c r="M6">
        <f t="shared" ref="M6:M69" si="2">EXP(K6)/(EXP(K6)+EXP(L6))</f>
        <v>0.99999999999983136</v>
      </c>
      <c r="N6">
        <f t="shared" ref="N6:N69" si="3">EXP(L6)/(EXP(L6)+EXP(K6))</f>
        <v>1.6868152990236657E-13</v>
      </c>
      <c r="O6">
        <f t="shared" ref="O6:O69" si="4">I6*M6+J6*N6</f>
        <v>0.99999999999983136</v>
      </c>
      <c r="P6">
        <f t="shared" ref="P6:P69" si="5">LN(O6)</f>
        <v>-1.6864287744057549E-13</v>
      </c>
    </row>
    <row r="7" spans="1:17" x14ac:dyDescent="0.3">
      <c r="A7" s="2">
        <f t="shared" ref="A7:A70" si="6">A6+1</f>
        <v>3</v>
      </c>
      <c r="B7" s="2">
        <v>25</v>
      </c>
      <c r="C7" s="2">
        <v>0.6</v>
      </c>
      <c r="D7" s="2">
        <v>15</v>
      </c>
      <c r="E7" s="2">
        <v>1</v>
      </c>
      <c r="F7" s="2">
        <v>90</v>
      </c>
      <c r="G7" s="2">
        <v>0.9</v>
      </c>
      <c r="H7" s="2">
        <v>40</v>
      </c>
      <c r="I7" s="2">
        <v>1</v>
      </c>
      <c r="J7" s="2">
        <v>0</v>
      </c>
      <c r="K7">
        <f t="shared" si="0"/>
        <v>76.363014059866273</v>
      </c>
      <c r="L7">
        <f t="shared" si="1"/>
        <v>24.967129345639712</v>
      </c>
      <c r="M7">
        <f t="shared" si="2"/>
        <v>1</v>
      </c>
      <c r="N7">
        <f t="shared" si="3"/>
        <v>4.7758521781442599E-23</v>
      </c>
      <c r="O7">
        <f t="shared" si="4"/>
        <v>1</v>
      </c>
      <c r="P7">
        <f t="shared" si="5"/>
        <v>0</v>
      </c>
    </row>
    <row r="8" spans="1:17" x14ac:dyDescent="0.3">
      <c r="A8" s="2">
        <f t="shared" si="6"/>
        <v>4</v>
      </c>
      <c r="B8" s="2">
        <v>15</v>
      </c>
      <c r="C8" s="2">
        <v>0.4</v>
      </c>
      <c r="D8" s="2">
        <v>20</v>
      </c>
      <c r="E8" s="2">
        <v>1</v>
      </c>
      <c r="F8" s="2">
        <v>60</v>
      </c>
      <c r="G8" s="2">
        <v>1</v>
      </c>
      <c r="H8" s="2">
        <v>40</v>
      </c>
      <c r="I8" s="2">
        <v>1</v>
      </c>
      <c r="J8" s="2">
        <v>0</v>
      </c>
      <c r="K8">
        <f t="shared" si="0"/>
        <v>71.135671565446629</v>
      </c>
      <c r="L8">
        <f t="shared" si="1"/>
        <v>34.72632581616363</v>
      </c>
      <c r="M8">
        <f t="shared" si="2"/>
        <v>0.99999999999999989</v>
      </c>
      <c r="N8">
        <f t="shared" si="3"/>
        <v>1.5403593581036205E-16</v>
      </c>
      <c r="O8">
        <f t="shared" si="4"/>
        <v>0.99999999999999989</v>
      </c>
      <c r="P8">
        <f t="shared" si="5"/>
        <v>-1.1102230246251565E-16</v>
      </c>
    </row>
    <row r="9" spans="1:17" x14ac:dyDescent="0.3">
      <c r="A9" s="2">
        <f t="shared" si="6"/>
        <v>5</v>
      </c>
      <c r="B9" s="2">
        <v>25</v>
      </c>
      <c r="C9" s="2">
        <v>0.4</v>
      </c>
      <c r="D9" s="2">
        <v>15</v>
      </c>
      <c r="E9" s="2">
        <v>1</v>
      </c>
      <c r="F9" s="2">
        <v>90</v>
      </c>
      <c r="G9" s="2">
        <v>0.8</v>
      </c>
      <c r="H9" s="2">
        <v>40</v>
      </c>
      <c r="I9" s="2">
        <v>1</v>
      </c>
      <c r="J9" s="2">
        <v>0</v>
      </c>
      <c r="K9">
        <f t="shared" si="0"/>
        <v>77.778437692453977</v>
      </c>
      <c r="L9">
        <f t="shared" si="1"/>
        <v>28.51668169601195</v>
      </c>
      <c r="M9">
        <f t="shared" si="2"/>
        <v>1</v>
      </c>
      <c r="N9">
        <f t="shared" si="3"/>
        <v>4.0354428562907289E-22</v>
      </c>
      <c r="O9">
        <f t="shared" si="4"/>
        <v>1</v>
      </c>
      <c r="P9">
        <f t="shared" si="5"/>
        <v>0</v>
      </c>
    </row>
    <row r="10" spans="1:17" x14ac:dyDescent="0.3">
      <c r="A10" s="2">
        <f t="shared" si="6"/>
        <v>6</v>
      </c>
      <c r="B10" s="2">
        <v>15</v>
      </c>
      <c r="C10" s="2">
        <v>0.6</v>
      </c>
      <c r="D10" s="2">
        <v>15</v>
      </c>
      <c r="E10" s="2">
        <v>1</v>
      </c>
      <c r="F10" s="2">
        <v>60</v>
      </c>
      <c r="G10" s="2">
        <v>1</v>
      </c>
      <c r="H10" s="2">
        <v>40</v>
      </c>
      <c r="I10" s="2">
        <v>1</v>
      </c>
      <c r="J10" s="2">
        <v>0</v>
      </c>
      <c r="K10">
        <f t="shared" si="0"/>
        <v>71.135671565446629</v>
      </c>
      <c r="L10">
        <f t="shared" si="1"/>
        <v>22.335440386869656</v>
      </c>
      <c r="M10">
        <f t="shared" si="2"/>
        <v>1</v>
      </c>
      <c r="N10">
        <f t="shared" si="3"/>
        <v>6.4021947885786832E-22</v>
      </c>
      <c r="O10">
        <f t="shared" si="4"/>
        <v>1</v>
      </c>
      <c r="P10">
        <f t="shared" si="5"/>
        <v>0</v>
      </c>
    </row>
    <row r="11" spans="1:17" x14ac:dyDescent="0.3">
      <c r="A11" s="2">
        <f t="shared" si="6"/>
        <v>7</v>
      </c>
      <c r="B11" s="2">
        <v>15</v>
      </c>
      <c r="C11" s="2">
        <v>0.6</v>
      </c>
      <c r="D11" s="2">
        <v>20</v>
      </c>
      <c r="E11" s="2">
        <v>1</v>
      </c>
      <c r="F11" s="2">
        <v>45</v>
      </c>
      <c r="G11" s="2">
        <v>0.9</v>
      </c>
      <c r="H11" s="2">
        <v>40</v>
      </c>
      <c r="I11" s="2">
        <v>1</v>
      </c>
      <c r="J11" s="2">
        <v>0</v>
      </c>
      <c r="K11">
        <f t="shared" si="0"/>
        <v>70.645135767118376</v>
      </c>
      <c r="L11">
        <f t="shared" si="1"/>
        <v>31.176773465791396</v>
      </c>
      <c r="M11">
        <f t="shared" si="2"/>
        <v>1</v>
      </c>
      <c r="N11">
        <f t="shared" si="3"/>
        <v>7.2294963496803228E-18</v>
      </c>
      <c r="O11">
        <f t="shared" si="4"/>
        <v>1</v>
      </c>
      <c r="P11">
        <f t="shared" si="5"/>
        <v>0</v>
      </c>
    </row>
    <row r="12" spans="1:17" x14ac:dyDescent="0.3">
      <c r="A12" s="2">
        <f t="shared" si="6"/>
        <v>8</v>
      </c>
      <c r="B12" s="2">
        <v>25</v>
      </c>
      <c r="C12" s="2">
        <v>0.6</v>
      </c>
      <c r="D12" s="2">
        <v>20</v>
      </c>
      <c r="E12" s="2">
        <v>1</v>
      </c>
      <c r="F12" s="2">
        <v>45</v>
      </c>
      <c r="G12" s="2">
        <v>1</v>
      </c>
      <c r="H12" s="2">
        <v>40</v>
      </c>
      <c r="I12" s="2">
        <v>1</v>
      </c>
      <c r="J12" s="2">
        <v>0</v>
      </c>
      <c r="K12">
        <f t="shared" si="0"/>
        <v>69.229712134530658</v>
      </c>
      <c r="L12">
        <f t="shared" si="1"/>
        <v>33.808462424561448</v>
      </c>
      <c r="M12">
        <f t="shared" si="2"/>
        <v>0.99999999999999967</v>
      </c>
      <c r="N12">
        <f t="shared" si="3"/>
        <v>4.1375829048793927E-16</v>
      </c>
      <c r="O12">
        <f t="shared" si="4"/>
        <v>0.99999999999999967</v>
      </c>
      <c r="P12">
        <f t="shared" si="5"/>
        <v>-3.3306690738754701E-16</v>
      </c>
    </row>
    <row r="13" spans="1:17" x14ac:dyDescent="0.3">
      <c r="A13" s="2">
        <f t="shared" si="6"/>
        <v>9</v>
      </c>
      <c r="B13" s="2">
        <v>15</v>
      </c>
      <c r="C13" s="2">
        <v>0.8</v>
      </c>
      <c r="D13" s="2">
        <v>25</v>
      </c>
      <c r="E13" s="2">
        <v>1</v>
      </c>
      <c r="F13" s="2">
        <v>45</v>
      </c>
      <c r="G13" s="2">
        <v>0.9</v>
      </c>
      <c r="H13" s="2">
        <v>40</v>
      </c>
      <c r="I13" s="2">
        <v>1</v>
      </c>
      <c r="J13" s="2">
        <v>0</v>
      </c>
      <c r="K13">
        <f t="shared" si="0"/>
        <v>70.645135767118376</v>
      </c>
      <c r="L13">
        <f t="shared" si="1"/>
        <v>36.468554194340904</v>
      </c>
      <c r="M13">
        <f t="shared" si="2"/>
        <v>0.99999999999999856</v>
      </c>
      <c r="N13">
        <f t="shared" si="3"/>
        <v>1.4364787725596529E-15</v>
      </c>
      <c r="O13">
        <f t="shared" si="4"/>
        <v>0.99999999999999856</v>
      </c>
      <c r="P13">
        <f t="shared" si="5"/>
        <v>-1.4432899320127045E-15</v>
      </c>
    </row>
    <row r="14" spans="1:17" x14ac:dyDescent="0.3">
      <c r="A14" s="2">
        <f t="shared" si="6"/>
        <v>10</v>
      </c>
      <c r="B14" s="2">
        <v>25</v>
      </c>
      <c r="C14" s="2">
        <v>0.8</v>
      </c>
      <c r="D14" s="2">
        <v>15</v>
      </c>
      <c r="E14" s="2">
        <v>1</v>
      </c>
      <c r="F14" s="2">
        <v>60</v>
      </c>
      <c r="G14" s="2">
        <v>0.8</v>
      </c>
      <c r="H14" s="2">
        <v>20</v>
      </c>
      <c r="I14" s="2">
        <v>1</v>
      </c>
      <c r="J14" s="2">
        <v>0</v>
      </c>
      <c r="K14">
        <f t="shared" si="0"/>
        <v>35.133483746792109</v>
      </c>
      <c r="L14">
        <f t="shared" si="1"/>
        <v>21.417576995267474</v>
      </c>
      <c r="M14">
        <f t="shared" si="2"/>
        <v>0.99999889526807717</v>
      </c>
      <c r="N14">
        <f t="shared" si="3"/>
        <v>1.1047319227683577E-6</v>
      </c>
      <c r="O14">
        <f t="shared" si="4"/>
        <v>0.99999889526807717</v>
      </c>
      <c r="P14">
        <f t="shared" si="5"/>
        <v>-1.1047325330464315E-6</v>
      </c>
    </row>
    <row r="15" spans="1:17" x14ac:dyDescent="0.3">
      <c r="A15" s="2">
        <f t="shared" si="6"/>
        <v>11</v>
      </c>
      <c r="B15" s="2">
        <v>20</v>
      </c>
      <c r="C15" s="2">
        <v>0.6</v>
      </c>
      <c r="D15" s="2">
        <v>25</v>
      </c>
      <c r="E15" s="2">
        <v>1</v>
      </c>
      <c r="F15" s="2">
        <v>90</v>
      </c>
      <c r="G15" s="2">
        <v>0.8</v>
      </c>
      <c r="H15" s="2">
        <v>20</v>
      </c>
      <c r="I15" s="2">
        <v>1</v>
      </c>
      <c r="J15" s="2">
        <v>0</v>
      </c>
      <c r="K15">
        <f t="shared" si="0"/>
        <v>38.945402608624036</v>
      </c>
      <c r="L15">
        <f t="shared" si="1"/>
        <v>41.33395102409817</v>
      </c>
      <c r="M15">
        <f t="shared" si="2"/>
        <v>8.4050115686538321E-2</v>
      </c>
      <c r="N15">
        <f t="shared" si="3"/>
        <v>0.91594988431346169</v>
      </c>
      <c r="O15">
        <f t="shared" si="4"/>
        <v>8.4050115686538321E-2</v>
      </c>
      <c r="P15">
        <f t="shared" si="5"/>
        <v>-2.4763420427270519</v>
      </c>
    </row>
    <row r="16" spans="1:17" x14ac:dyDescent="0.3">
      <c r="A16" s="2">
        <f t="shared" si="6"/>
        <v>12</v>
      </c>
      <c r="B16" s="2">
        <v>15</v>
      </c>
      <c r="C16" s="2">
        <v>0.8</v>
      </c>
      <c r="D16" s="2">
        <v>20</v>
      </c>
      <c r="E16" s="2">
        <v>1</v>
      </c>
      <c r="F16" s="2">
        <v>90</v>
      </c>
      <c r="G16" s="2">
        <v>0.8</v>
      </c>
      <c r="H16" s="2">
        <v>20</v>
      </c>
      <c r="I16" s="2">
        <v>1</v>
      </c>
      <c r="J16" s="2">
        <v>0</v>
      </c>
      <c r="K16">
        <f t="shared" si="0"/>
        <v>38.945402608624036</v>
      </c>
      <c r="L16">
        <f t="shared" si="1"/>
        <v>27.627221115419157</v>
      </c>
      <c r="M16">
        <f t="shared" si="2"/>
        <v>0.9999878501488968</v>
      </c>
      <c r="N16">
        <f t="shared" si="3"/>
        <v>1.2149851103244647E-5</v>
      </c>
      <c r="O16">
        <f t="shared" si="4"/>
        <v>0.9999878501488968</v>
      </c>
      <c r="P16">
        <f t="shared" si="5"/>
        <v>-1.2149924913243537E-5</v>
      </c>
    </row>
    <row r="17" spans="1:16" x14ac:dyDescent="0.3">
      <c r="A17" s="2">
        <f t="shared" si="6"/>
        <v>13</v>
      </c>
      <c r="B17" s="2">
        <v>25</v>
      </c>
      <c r="C17" s="2">
        <v>0.4</v>
      </c>
      <c r="D17" s="2">
        <v>25</v>
      </c>
      <c r="E17" s="2">
        <v>1</v>
      </c>
      <c r="F17" s="2">
        <v>60</v>
      </c>
      <c r="G17" s="2">
        <v>1</v>
      </c>
      <c r="H17" s="2">
        <v>20</v>
      </c>
      <c r="I17" s="2">
        <v>0</v>
      </c>
      <c r="J17" s="2">
        <v>1</v>
      </c>
      <c r="K17">
        <f t="shared" si="0"/>
        <v>32.302636481616688</v>
      </c>
      <c r="L17">
        <f t="shared" si="1"/>
        <v>46.199347853855429</v>
      </c>
      <c r="M17">
        <f t="shared" si="2"/>
        <v>9.2200767028173343E-7</v>
      </c>
      <c r="N17">
        <f t="shared" si="3"/>
        <v>0.99999907799232968</v>
      </c>
      <c r="O17">
        <f t="shared" si="4"/>
        <v>0.99999907799232968</v>
      </c>
      <c r="P17">
        <f t="shared" si="5"/>
        <v>-9.2200809537246618E-7</v>
      </c>
    </row>
    <row r="18" spans="1:16" x14ac:dyDescent="0.3">
      <c r="A18" s="2">
        <f t="shared" si="6"/>
        <v>14</v>
      </c>
      <c r="B18" s="2">
        <v>15</v>
      </c>
      <c r="C18" s="2">
        <v>0.6</v>
      </c>
      <c r="D18" s="2">
        <v>15</v>
      </c>
      <c r="E18" s="2">
        <v>1</v>
      </c>
      <c r="F18" s="2">
        <v>60</v>
      </c>
      <c r="G18" s="2">
        <v>0.8</v>
      </c>
      <c r="H18" s="2">
        <v>20</v>
      </c>
      <c r="I18" s="2">
        <v>1</v>
      </c>
      <c r="J18" s="2">
        <v>0</v>
      </c>
      <c r="K18">
        <f t="shared" si="0"/>
        <v>35.133483746792109</v>
      </c>
      <c r="L18">
        <f t="shared" si="1"/>
        <v>22.335440386869656</v>
      </c>
      <c r="M18">
        <f t="shared" si="2"/>
        <v>0.99999723382795325</v>
      </c>
      <c r="N18">
        <f t="shared" si="3"/>
        <v>2.7661720467427559E-6</v>
      </c>
      <c r="O18">
        <f t="shared" si="4"/>
        <v>0.99999723382795325</v>
      </c>
      <c r="P18">
        <f t="shared" si="5"/>
        <v>-2.7661758726140642E-6</v>
      </c>
    </row>
    <row r="19" spans="1:16" x14ac:dyDescent="0.3">
      <c r="A19" s="2">
        <f t="shared" si="6"/>
        <v>15</v>
      </c>
      <c r="B19" s="2">
        <v>15</v>
      </c>
      <c r="C19" s="2">
        <v>0.4</v>
      </c>
      <c r="D19" s="2">
        <v>15</v>
      </c>
      <c r="E19" s="2">
        <v>1</v>
      </c>
      <c r="F19" s="2">
        <v>90</v>
      </c>
      <c r="G19" s="2">
        <v>1</v>
      </c>
      <c r="H19" s="2">
        <v>20</v>
      </c>
      <c r="I19" s="2">
        <v>1</v>
      </c>
      <c r="J19" s="2">
        <v>0</v>
      </c>
      <c r="K19">
        <f t="shared" si="0"/>
        <v>36.114555343448615</v>
      </c>
      <c r="L19">
        <f t="shared" si="1"/>
        <v>25.884992737241895</v>
      </c>
      <c r="M19">
        <f t="shared" si="2"/>
        <v>0.99996391375149751</v>
      </c>
      <c r="N19">
        <f t="shared" si="3"/>
        <v>3.6086248502469158E-5</v>
      </c>
      <c r="O19">
        <f t="shared" si="4"/>
        <v>0.99996391375149751</v>
      </c>
      <c r="P19">
        <f t="shared" si="5"/>
        <v>-3.6086899626817058E-5</v>
      </c>
    </row>
    <row r="20" spans="1:16" x14ac:dyDescent="0.3">
      <c r="A20" s="2">
        <f t="shared" si="6"/>
        <v>16</v>
      </c>
      <c r="B20" s="2">
        <v>15</v>
      </c>
      <c r="C20" s="2">
        <v>0.4</v>
      </c>
      <c r="D20" s="2">
        <v>25</v>
      </c>
      <c r="E20" s="2">
        <v>1</v>
      </c>
      <c r="F20" s="2">
        <v>90</v>
      </c>
      <c r="G20" s="2">
        <v>0.8</v>
      </c>
      <c r="H20" s="2">
        <v>20</v>
      </c>
      <c r="I20" s="2">
        <v>0</v>
      </c>
      <c r="J20" s="2">
        <v>1</v>
      </c>
      <c r="K20">
        <f t="shared" si="0"/>
        <v>38.945402608624036</v>
      </c>
      <c r="L20">
        <f t="shared" si="1"/>
        <v>43.567658895085373</v>
      </c>
      <c r="M20">
        <f t="shared" si="2"/>
        <v>9.7348906687547247E-3</v>
      </c>
      <c r="N20">
        <f t="shared" si="3"/>
        <v>0.99026510933124523</v>
      </c>
      <c r="O20">
        <f t="shared" si="4"/>
        <v>0.99026510933124523</v>
      </c>
      <c r="P20">
        <f t="shared" si="5"/>
        <v>-9.7825844988168303E-3</v>
      </c>
    </row>
    <row r="21" spans="1:16" x14ac:dyDescent="0.3">
      <c r="A21" s="2">
        <f t="shared" si="6"/>
        <v>17</v>
      </c>
      <c r="B21" s="2">
        <v>20</v>
      </c>
      <c r="C21" s="2">
        <v>0.6</v>
      </c>
      <c r="D21" s="2">
        <v>15</v>
      </c>
      <c r="E21" s="2">
        <v>1</v>
      </c>
      <c r="F21" s="2">
        <v>45</v>
      </c>
      <c r="G21" s="2">
        <v>1</v>
      </c>
      <c r="H21" s="2">
        <v>20</v>
      </c>
      <c r="I21" s="2">
        <v>1</v>
      </c>
      <c r="J21" s="2">
        <v>0</v>
      </c>
      <c r="K21">
        <f t="shared" si="0"/>
        <v>30.396677050700724</v>
      </c>
      <c r="L21">
        <f t="shared" si="1"/>
        <v>23.651284866254684</v>
      </c>
      <c r="M21">
        <f t="shared" si="2"/>
        <v>0.99882509475880488</v>
      </c>
      <c r="N21">
        <f t="shared" si="3"/>
        <v>1.1749052411950732E-3</v>
      </c>
      <c r="O21">
        <f t="shared" si="4"/>
        <v>0.99882509475880488</v>
      </c>
      <c r="P21">
        <f t="shared" si="5"/>
        <v>-1.1755959834488189E-3</v>
      </c>
    </row>
    <row r="22" spans="1:16" x14ac:dyDescent="0.3">
      <c r="A22" s="2">
        <f t="shared" si="6"/>
        <v>18</v>
      </c>
      <c r="B22" s="2">
        <v>15</v>
      </c>
      <c r="C22" s="2">
        <v>0.4</v>
      </c>
      <c r="D22" s="2">
        <v>25</v>
      </c>
      <c r="E22" s="2">
        <v>1</v>
      </c>
      <c r="F22" s="2">
        <v>90</v>
      </c>
      <c r="G22" s="2">
        <v>0.8</v>
      </c>
      <c r="H22" s="2">
        <v>20</v>
      </c>
      <c r="I22" s="2">
        <v>0</v>
      </c>
      <c r="J22" s="2">
        <v>1</v>
      </c>
      <c r="K22">
        <f t="shared" si="0"/>
        <v>38.945402608624036</v>
      </c>
      <c r="L22">
        <f t="shared" si="1"/>
        <v>43.567658895085373</v>
      </c>
      <c r="M22">
        <f t="shared" si="2"/>
        <v>9.7348906687547247E-3</v>
      </c>
      <c r="N22">
        <f t="shared" si="3"/>
        <v>0.99026510933124523</v>
      </c>
      <c r="O22">
        <f t="shared" si="4"/>
        <v>0.99026510933124523</v>
      </c>
      <c r="P22">
        <f t="shared" si="5"/>
        <v>-9.7825844988168303E-3</v>
      </c>
    </row>
    <row r="23" spans="1:16" x14ac:dyDescent="0.3">
      <c r="A23" s="2">
        <f t="shared" si="6"/>
        <v>19</v>
      </c>
      <c r="B23" s="2">
        <v>25</v>
      </c>
      <c r="C23" s="2">
        <v>0.8</v>
      </c>
      <c r="D23" s="2">
        <v>15</v>
      </c>
      <c r="E23" s="2">
        <v>1</v>
      </c>
      <c r="F23" s="2">
        <v>60</v>
      </c>
      <c r="G23" s="2">
        <v>1</v>
      </c>
      <c r="H23" s="2">
        <v>20</v>
      </c>
      <c r="I23" s="2">
        <v>1</v>
      </c>
      <c r="J23" s="2">
        <v>0</v>
      </c>
      <c r="K23">
        <f t="shared" si="0"/>
        <v>32.302636481616688</v>
      </c>
      <c r="L23">
        <f t="shared" si="1"/>
        <v>21.417576995267474</v>
      </c>
      <c r="M23">
        <f t="shared" si="2"/>
        <v>0.99998126427112943</v>
      </c>
      <c r="N23">
        <f t="shared" si="3"/>
        <v>1.8735728870594921E-5</v>
      </c>
      <c r="O23">
        <f t="shared" si="4"/>
        <v>0.99998126427112943</v>
      </c>
      <c r="P23">
        <f t="shared" si="5"/>
        <v>-1.8735904386527398E-5</v>
      </c>
    </row>
    <row r="24" spans="1:16" x14ac:dyDescent="0.3">
      <c r="A24" s="2">
        <f t="shared" si="6"/>
        <v>20</v>
      </c>
      <c r="B24" s="2">
        <v>25</v>
      </c>
      <c r="C24" s="2">
        <v>0.8</v>
      </c>
      <c r="D24" s="2">
        <v>20</v>
      </c>
      <c r="E24" s="2">
        <v>1</v>
      </c>
      <c r="F24" s="2">
        <v>90</v>
      </c>
      <c r="G24" s="2">
        <v>0.8</v>
      </c>
      <c r="H24" s="2">
        <v>40</v>
      </c>
      <c r="I24" s="2">
        <v>1</v>
      </c>
      <c r="J24" s="2">
        <v>0</v>
      </c>
      <c r="K24">
        <f t="shared" si="0"/>
        <v>77.778437692453977</v>
      </c>
      <c r="L24">
        <f t="shared" si="1"/>
        <v>30.258910074189213</v>
      </c>
      <c r="M24">
        <f t="shared" si="2"/>
        <v>1</v>
      </c>
      <c r="N24">
        <f t="shared" si="3"/>
        <v>2.304259426057519E-21</v>
      </c>
      <c r="O24">
        <f t="shared" si="4"/>
        <v>1</v>
      </c>
      <c r="P24">
        <f t="shared" si="5"/>
        <v>0</v>
      </c>
    </row>
    <row r="25" spans="1:16" x14ac:dyDescent="0.3">
      <c r="A25" s="2">
        <f t="shared" si="6"/>
        <v>21</v>
      </c>
      <c r="B25" s="2">
        <v>25</v>
      </c>
      <c r="C25" s="2">
        <v>0.4</v>
      </c>
      <c r="D25" s="2">
        <v>15</v>
      </c>
      <c r="E25" s="2">
        <v>1</v>
      </c>
      <c r="F25" s="2">
        <v>90</v>
      </c>
      <c r="G25" s="2">
        <v>0.8</v>
      </c>
      <c r="H25" s="2">
        <v>10</v>
      </c>
      <c r="I25" s="2">
        <v>0</v>
      </c>
      <c r="J25" s="2">
        <v>1</v>
      </c>
      <c r="K25">
        <f t="shared" si="0"/>
        <v>19.528885066709069</v>
      </c>
      <c r="L25">
        <f t="shared" si="1"/>
        <v>28.51668169601195</v>
      </c>
      <c r="M25">
        <f t="shared" si="2"/>
        <v>1.2490944208319363E-4</v>
      </c>
      <c r="N25">
        <f t="shared" si="3"/>
        <v>0.9998750905579169</v>
      </c>
      <c r="O25">
        <f t="shared" si="4"/>
        <v>0.9998750905579169</v>
      </c>
      <c r="P25">
        <f t="shared" si="5"/>
        <v>-1.2491724391714809E-4</v>
      </c>
    </row>
    <row r="26" spans="1:16" x14ac:dyDescent="0.3">
      <c r="A26" s="2">
        <f t="shared" si="6"/>
        <v>22</v>
      </c>
      <c r="B26" s="2">
        <v>25</v>
      </c>
      <c r="C26" s="2">
        <v>0.6</v>
      </c>
      <c r="D26" s="2">
        <v>20</v>
      </c>
      <c r="E26" s="2">
        <v>1</v>
      </c>
      <c r="F26" s="2">
        <v>60</v>
      </c>
      <c r="G26" s="2">
        <v>0.9</v>
      </c>
      <c r="H26" s="2">
        <v>20</v>
      </c>
      <c r="I26" s="2">
        <v>0</v>
      </c>
      <c r="J26" s="2">
        <v>1</v>
      </c>
      <c r="K26">
        <f t="shared" si="0"/>
        <v>33.718060114204398</v>
      </c>
      <c r="L26">
        <f t="shared" si="1"/>
        <v>33.808462424561448</v>
      </c>
      <c r="M26">
        <f t="shared" si="2"/>
        <v>0.47741480192323521</v>
      </c>
      <c r="N26">
        <f t="shared" si="3"/>
        <v>0.52258519807676473</v>
      </c>
      <c r="O26">
        <f t="shared" si="4"/>
        <v>0.52258519807676473</v>
      </c>
      <c r="P26">
        <f t="shared" si="5"/>
        <v>-0.64896724991564259</v>
      </c>
    </row>
    <row r="27" spans="1:16" x14ac:dyDescent="0.3">
      <c r="A27" s="2">
        <f t="shared" si="6"/>
        <v>23</v>
      </c>
      <c r="B27" s="2">
        <v>20</v>
      </c>
      <c r="C27" s="2">
        <v>0.6</v>
      </c>
      <c r="D27" s="2">
        <v>15</v>
      </c>
      <c r="E27" s="2">
        <v>1</v>
      </c>
      <c r="F27" s="2">
        <v>45</v>
      </c>
      <c r="G27" s="2">
        <v>0.9</v>
      </c>
      <c r="H27" s="2">
        <v>20</v>
      </c>
      <c r="I27" s="2">
        <v>1</v>
      </c>
      <c r="J27" s="2">
        <v>0</v>
      </c>
      <c r="K27">
        <f t="shared" si="0"/>
        <v>31.812100683288435</v>
      </c>
      <c r="L27">
        <f t="shared" si="1"/>
        <v>23.651284866254684</v>
      </c>
      <c r="M27">
        <f t="shared" si="2"/>
        <v>0.99971445228229905</v>
      </c>
      <c r="N27">
        <f t="shared" si="3"/>
        <v>2.8554771770089983E-4</v>
      </c>
      <c r="O27">
        <f t="shared" si="4"/>
        <v>0.99971445228229905</v>
      </c>
      <c r="P27">
        <f t="shared" si="5"/>
        <v>-2.8558849421310482E-4</v>
      </c>
    </row>
    <row r="28" spans="1:16" x14ac:dyDescent="0.3">
      <c r="A28" s="2">
        <f t="shared" si="6"/>
        <v>24</v>
      </c>
      <c r="B28" s="2">
        <v>25</v>
      </c>
      <c r="C28" s="2">
        <v>0.4</v>
      </c>
      <c r="D28" s="2">
        <v>20</v>
      </c>
      <c r="E28" s="2">
        <v>1</v>
      </c>
      <c r="F28" s="2">
        <v>90</v>
      </c>
      <c r="G28" s="2">
        <v>1</v>
      </c>
      <c r="H28" s="2">
        <v>10</v>
      </c>
      <c r="I28" s="2">
        <v>0</v>
      </c>
      <c r="J28" s="2">
        <v>1</v>
      </c>
      <c r="K28">
        <f t="shared" si="0"/>
        <v>16.698037801533648</v>
      </c>
      <c r="L28">
        <f t="shared" si="1"/>
        <v>37.358014774933686</v>
      </c>
      <c r="M28">
        <f t="shared" si="2"/>
        <v>1.0653345299644732E-9</v>
      </c>
      <c r="N28">
        <f t="shared" si="3"/>
        <v>0.9999999989346654</v>
      </c>
      <c r="O28">
        <f t="shared" si="4"/>
        <v>0.9999999989346654</v>
      </c>
      <c r="P28">
        <f t="shared" si="5"/>
        <v>-1.0653345988832835E-9</v>
      </c>
    </row>
    <row r="29" spans="1:16" x14ac:dyDescent="0.3">
      <c r="A29" s="2">
        <f t="shared" si="6"/>
        <v>25</v>
      </c>
      <c r="B29" s="2">
        <v>25</v>
      </c>
      <c r="C29" s="2">
        <v>0.4</v>
      </c>
      <c r="D29" s="2">
        <v>25</v>
      </c>
      <c r="E29" s="2">
        <v>1</v>
      </c>
      <c r="F29" s="2">
        <v>60</v>
      </c>
      <c r="G29" s="2">
        <v>0.8</v>
      </c>
      <c r="H29" s="2">
        <v>10</v>
      </c>
      <c r="I29" s="2">
        <v>0</v>
      </c>
      <c r="J29" s="2">
        <v>1</v>
      </c>
      <c r="K29">
        <f t="shared" si="0"/>
        <v>15.716966204877139</v>
      </c>
      <c r="L29">
        <f t="shared" si="1"/>
        <v>46.199347853855429</v>
      </c>
      <c r="M29">
        <f t="shared" si="2"/>
        <v>5.7765675276644235E-14</v>
      </c>
      <c r="N29">
        <f t="shared" si="3"/>
        <v>0.99999999999994216</v>
      </c>
      <c r="O29">
        <f t="shared" si="4"/>
        <v>0.99999999999994216</v>
      </c>
      <c r="P29">
        <f t="shared" si="5"/>
        <v>-5.7842619582972334E-14</v>
      </c>
    </row>
    <row r="30" spans="1:16" x14ac:dyDescent="0.3">
      <c r="A30" s="2">
        <f t="shared" si="6"/>
        <v>26</v>
      </c>
      <c r="B30" s="2">
        <v>20</v>
      </c>
      <c r="C30" s="2">
        <v>0.4</v>
      </c>
      <c r="D30" s="2">
        <v>25</v>
      </c>
      <c r="E30" s="2">
        <v>1</v>
      </c>
      <c r="F30" s="2">
        <v>90</v>
      </c>
      <c r="G30" s="2">
        <v>1</v>
      </c>
      <c r="H30" s="2">
        <v>10</v>
      </c>
      <c r="I30" s="2">
        <v>0</v>
      </c>
      <c r="J30" s="2">
        <v>1</v>
      </c>
      <c r="K30">
        <f t="shared" si="0"/>
        <v>16.698037801533648</v>
      </c>
      <c r="L30">
        <f t="shared" si="1"/>
        <v>44.883503374470401</v>
      </c>
      <c r="M30">
        <f t="shared" si="2"/>
        <v>5.7439127162139631E-13</v>
      </c>
      <c r="N30">
        <f t="shared" si="3"/>
        <v>0.99999999999942568</v>
      </c>
      <c r="O30">
        <f t="shared" si="4"/>
        <v>0.99999999999942568</v>
      </c>
      <c r="P30">
        <f t="shared" si="5"/>
        <v>-5.7431837063875837E-13</v>
      </c>
    </row>
    <row r="31" spans="1:16" x14ac:dyDescent="0.3">
      <c r="A31" s="2">
        <f t="shared" si="6"/>
        <v>27</v>
      </c>
      <c r="B31" s="2">
        <v>20</v>
      </c>
      <c r="C31" s="2">
        <v>0.4</v>
      </c>
      <c r="D31" s="2">
        <v>20</v>
      </c>
      <c r="E31" s="2">
        <v>1</v>
      </c>
      <c r="F31" s="2">
        <v>90</v>
      </c>
      <c r="G31" s="2">
        <v>0.9</v>
      </c>
      <c r="H31" s="2">
        <v>10</v>
      </c>
      <c r="I31" s="2">
        <v>0</v>
      </c>
      <c r="J31" s="2">
        <v>1</v>
      </c>
      <c r="K31">
        <f t="shared" si="0"/>
        <v>18.113461434121358</v>
      </c>
      <c r="L31">
        <f t="shared" si="1"/>
        <v>36.042170295548658</v>
      </c>
      <c r="M31">
        <f t="shared" si="2"/>
        <v>1.6355381046064499E-8</v>
      </c>
      <c r="N31">
        <f t="shared" si="3"/>
        <v>0.99999998364461895</v>
      </c>
      <c r="O31">
        <f t="shared" si="4"/>
        <v>0.99999998364461895</v>
      </c>
      <c r="P31">
        <f t="shared" si="5"/>
        <v>-1.6355381183242435E-8</v>
      </c>
    </row>
    <row r="32" spans="1:16" x14ac:dyDescent="0.3">
      <c r="A32" s="2">
        <f t="shared" si="6"/>
        <v>28</v>
      </c>
      <c r="B32" s="2">
        <v>20</v>
      </c>
      <c r="C32" s="2">
        <v>0.4</v>
      </c>
      <c r="D32" s="2">
        <v>15</v>
      </c>
      <c r="E32" s="2">
        <v>1</v>
      </c>
      <c r="F32" s="2">
        <v>60</v>
      </c>
      <c r="G32" s="2">
        <v>0.8</v>
      </c>
      <c r="H32" s="2">
        <v>10</v>
      </c>
      <c r="I32" s="2">
        <v>0</v>
      </c>
      <c r="J32" s="2">
        <v>1</v>
      </c>
      <c r="K32">
        <f t="shared" si="0"/>
        <v>15.716966204877139</v>
      </c>
      <c r="L32">
        <f t="shared" si="1"/>
        <v>27.200837216626923</v>
      </c>
      <c r="M32">
        <f t="shared" si="2"/>
        <v>1.0294700532907219E-5</v>
      </c>
      <c r="N32">
        <f t="shared" si="3"/>
        <v>0.99998970529946718</v>
      </c>
      <c r="O32">
        <f t="shared" si="4"/>
        <v>0.99998970529946718</v>
      </c>
      <c r="P32">
        <f t="shared" si="5"/>
        <v>-1.0294753523613435E-5</v>
      </c>
    </row>
    <row r="33" spans="1:16" x14ac:dyDescent="0.3">
      <c r="A33" s="2">
        <f t="shared" si="6"/>
        <v>29</v>
      </c>
      <c r="B33" s="2">
        <v>15</v>
      </c>
      <c r="C33" s="2">
        <v>0.4</v>
      </c>
      <c r="D33" s="2">
        <v>20</v>
      </c>
      <c r="E33" s="2">
        <v>1</v>
      </c>
      <c r="F33" s="2">
        <v>60</v>
      </c>
      <c r="G33" s="2">
        <v>1</v>
      </c>
      <c r="H33" s="2">
        <v>20</v>
      </c>
      <c r="I33" s="2">
        <v>0</v>
      </c>
      <c r="J33" s="2">
        <v>1</v>
      </c>
      <c r="K33">
        <f t="shared" si="0"/>
        <v>32.302636481616688</v>
      </c>
      <c r="L33">
        <f t="shared" si="1"/>
        <v>34.72632581616363</v>
      </c>
      <c r="M33">
        <f t="shared" si="2"/>
        <v>8.1384012074691606E-2</v>
      </c>
      <c r="N33">
        <f t="shared" si="3"/>
        <v>0.9186159879253083</v>
      </c>
      <c r="O33">
        <f t="shared" si="4"/>
        <v>0.9186159879253083</v>
      </c>
      <c r="P33">
        <f t="shared" si="5"/>
        <v>-8.4887102576860621E-2</v>
      </c>
    </row>
    <row r="34" spans="1:16" x14ac:dyDescent="0.3">
      <c r="A34" s="2">
        <f t="shared" si="6"/>
        <v>30</v>
      </c>
      <c r="B34" s="2">
        <v>25</v>
      </c>
      <c r="C34" s="2">
        <v>0.8</v>
      </c>
      <c r="D34" s="2">
        <v>20</v>
      </c>
      <c r="E34" s="2">
        <v>1</v>
      </c>
      <c r="F34" s="2">
        <v>60</v>
      </c>
      <c r="G34" s="2">
        <v>0.9</v>
      </c>
      <c r="H34" s="2">
        <v>20</v>
      </c>
      <c r="I34" s="2">
        <v>1</v>
      </c>
      <c r="J34" s="2">
        <v>0</v>
      </c>
      <c r="K34">
        <f t="shared" si="0"/>
        <v>33.718060114204398</v>
      </c>
      <c r="L34">
        <f t="shared" si="1"/>
        <v>30.258910074189213</v>
      </c>
      <c r="M34">
        <f t="shared" si="2"/>
        <v>0.96950284592865987</v>
      </c>
      <c r="N34">
        <f t="shared" si="3"/>
        <v>3.0497154071340137E-2</v>
      </c>
      <c r="O34">
        <f t="shared" si="4"/>
        <v>0.96950284592865987</v>
      </c>
      <c r="P34">
        <f t="shared" si="5"/>
        <v>-3.0971868843543165E-2</v>
      </c>
    </row>
    <row r="35" spans="1:16" x14ac:dyDescent="0.3">
      <c r="A35" s="2">
        <f t="shared" si="6"/>
        <v>31</v>
      </c>
      <c r="B35" s="2">
        <v>25</v>
      </c>
      <c r="C35" s="2">
        <v>0.6</v>
      </c>
      <c r="D35" s="2">
        <v>20</v>
      </c>
      <c r="E35" s="2">
        <v>1</v>
      </c>
      <c r="F35" s="2">
        <v>45</v>
      </c>
      <c r="G35" s="2">
        <v>0.9</v>
      </c>
      <c r="H35" s="2">
        <v>10</v>
      </c>
      <c r="I35" s="2">
        <v>0</v>
      </c>
      <c r="J35" s="2">
        <v>1</v>
      </c>
      <c r="K35">
        <f t="shared" si="0"/>
        <v>12.395583141373463</v>
      </c>
      <c r="L35">
        <f t="shared" si="1"/>
        <v>33.808462424561448</v>
      </c>
      <c r="M35">
        <f t="shared" si="2"/>
        <v>5.0176999240744855E-10</v>
      </c>
      <c r="N35">
        <f t="shared" si="3"/>
        <v>0.99999999949823004</v>
      </c>
      <c r="O35">
        <f t="shared" si="4"/>
        <v>0.99999999949823004</v>
      </c>
      <c r="P35">
        <f t="shared" si="5"/>
        <v>-5.0176995904192947E-10</v>
      </c>
    </row>
    <row r="36" spans="1:16" x14ac:dyDescent="0.3">
      <c r="A36" s="2">
        <f t="shared" si="6"/>
        <v>32</v>
      </c>
      <c r="B36" s="2">
        <v>25</v>
      </c>
      <c r="C36" s="2">
        <v>0.8</v>
      </c>
      <c r="D36" s="2">
        <v>20</v>
      </c>
      <c r="E36" s="2">
        <v>1</v>
      </c>
      <c r="F36" s="2">
        <v>60</v>
      </c>
      <c r="G36" s="2">
        <v>1</v>
      </c>
      <c r="H36" s="2">
        <v>40</v>
      </c>
      <c r="I36" s="2">
        <v>1</v>
      </c>
      <c r="J36" s="2">
        <v>0</v>
      </c>
      <c r="K36">
        <f t="shared" si="0"/>
        <v>71.135671565446629</v>
      </c>
      <c r="L36">
        <f t="shared" si="1"/>
        <v>30.258910074189213</v>
      </c>
      <c r="M36">
        <f t="shared" si="2"/>
        <v>1</v>
      </c>
      <c r="N36">
        <f t="shared" si="3"/>
        <v>1.7678607196529161E-18</v>
      </c>
      <c r="O36">
        <f t="shared" si="4"/>
        <v>1</v>
      </c>
      <c r="P36">
        <f t="shared" si="5"/>
        <v>0</v>
      </c>
    </row>
    <row r="37" spans="1:16" x14ac:dyDescent="0.3">
      <c r="A37" s="2">
        <f t="shared" si="6"/>
        <v>33</v>
      </c>
      <c r="B37" s="2">
        <v>25</v>
      </c>
      <c r="C37" s="2">
        <v>0.8</v>
      </c>
      <c r="D37" s="2">
        <v>20</v>
      </c>
      <c r="E37" s="2">
        <v>1</v>
      </c>
      <c r="F37" s="2">
        <v>45</v>
      </c>
      <c r="G37" s="2">
        <v>1</v>
      </c>
      <c r="H37" s="2">
        <v>20</v>
      </c>
      <c r="I37" s="2">
        <v>1</v>
      </c>
      <c r="J37" s="2">
        <v>0</v>
      </c>
      <c r="K37">
        <f t="shared" si="0"/>
        <v>30.396677050700724</v>
      </c>
      <c r="L37">
        <f t="shared" si="1"/>
        <v>30.258910074189213</v>
      </c>
      <c r="M37">
        <f t="shared" si="2"/>
        <v>0.53438737270921821</v>
      </c>
      <c r="N37">
        <f t="shared" si="3"/>
        <v>0.46561262729078179</v>
      </c>
      <c r="O37">
        <f t="shared" si="4"/>
        <v>0.53438737270921821</v>
      </c>
      <c r="P37">
        <f t="shared" si="5"/>
        <v>-0.62663428595125925</v>
      </c>
    </row>
    <row r="38" spans="1:16" x14ac:dyDescent="0.3">
      <c r="A38" s="2">
        <f t="shared" si="6"/>
        <v>34</v>
      </c>
      <c r="B38" s="2">
        <v>20</v>
      </c>
      <c r="C38" s="2">
        <v>0.4</v>
      </c>
      <c r="D38" s="2">
        <v>15</v>
      </c>
      <c r="E38" s="2">
        <v>1</v>
      </c>
      <c r="F38" s="2">
        <v>90</v>
      </c>
      <c r="G38" s="2">
        <v>0.8</v>
      </c>
      <c r="H38" s="2">
        <v>10</v>
      </c>
      <c r="I38" s="2">
        <v>0</v>
      </c>
      <c r="J38" s="2">
        <v>1</v>
      </c>
      <c r="K38">
        <f t="shared" si="0"/>
        <v>19.528885066709069</v>
      </c>
      <c r="L38">
        <f t="shared" si="1"/>
        <v>27.200837216626923</v>
      </c>
      <c r="M38">
        <f t="shared" si="2"/>
        <v>4.6549102149150742E-4</v>
      </c>
      <c r="N38">
        <f t="shared" si="3"/>
        <v>0.99953450897850848</v>
      </c>
      <c r="O38">
        <f t="shared" si="4"/>
        <v>0.99953450897850848</v>
      </c>
      <c r="P38">
        <f t="shared" si="5"/>
        <v>-4.6559939606996033E-4</v>
      </c>
    </row>
    <row r="39" spans="1:16" x14ac:dyDescent="0.3">
      <c r="A39" s="2">
        <f t="shared" si="6"/>
        <v>35</v>
      </c>
      <c r="B39" s="2">
        <v>15</v>
      </c>
      <c r="C39" s="2">
        <v>0.6</v>
      </c>
      <c r="D39" s="2">
        <v>20</v>
      </c>
      <c r="E39" s="2">
        <v>1</v>
      </c>
      <c r="F39" s="2">
        <v>60</v>
      </c>
      <c r="G39" s="2">
        <v>1</v>
      </c>
      <c r="H39" s="2">
        <v>20</v>
      </c>
      <c r="I39" s="2">
        <v>0</v>
      </c>
      <c r="J39" s="2">
        <v>1</v>
      </c>
      <c r="K39">
        <f t="shared" si="0"/>
        <v>32.302636481616688</v>
      </c>
      <c r="L39">
        <f t="shared" si="1"/>
        <v>31.176773465791396</v>
      </c>
      <c r="M39">
        <f t="shared" si="2"/>
        <v>0.75507462550147453</v>
      </c>
      <c r="N39">
        <f t="shared" si="3"/>
        <v>0.24492537449852553</v>
      </c>
      <c r="O39">
        <f t="shared" si="4"/>
        <v>0.24492537449852553</v>
      </c>
      <c r="P39">
        <f t="shared" si="5"/>
        <v>-1.4068017087191182</v>
      </c>
    </row>
    <row r="40" spans="1:16" x14ac:dyDescent="0.3">
      <c r="A40" s="2">
        <f t="shared" si="6"/>
        <v>36</v>
      </c>
      <c r="B40" s="2">
        <v>15</v>
      </c>
      <c r="C40" s="2">
        <v>0.8</v>
      </c>
      <c r="D40" s="2">
        <v>20</v>
      </c>
      <c r="E40" s="2">
        <v>1</v>
      </c>
      <c r="F40" s="2">
        <v>60</v>
      </c>
      <c r="G40" s="2">
        <v>1</v>
      </c>
      <c r="H40" s="2">
        <v>10</v>
      </c>
      <c r="I40" s="2">
        <v>0</v>
      </c>
      <c r="J40" s="2">
        <v>1</v>
      </c>
      <c r="K40">
        <f t="shared" si="0"/>
        <v>12.886118939701717</v>
      </c>
      <c r="L40">
        <f t="shared" si="1"/>
        <v>27.627221115419157</v>
      </c>
      <c r="M40">
        <f t="shared" si="2"/>
        <v>3.9629673637822275E-7</v>
      </c>
      <c r="N40">
        <f t="shared" si="3"/>
        <v>0.99999960370326368</v>
      </c>
      <c r="O40">
        <f t="shared" si="4"/>
        <v>0.99999960370326368</v>
      </c>
      <c r="P40">
        <f t="shared" si="5"/>
        <v>-3.9629681484137668E-7</v>
      </c>
    </row>
    <row r="41" spans="1:16" x14ac:dyDescent="0.3">
      <c r="A41" s="2">
        <f t="shared" si="6"/>
        <v>37</v>
      </c>
      <c r="B41" s="2">
        <v>20</v>
      </c>
      <c r="C41" s="2">
        <v>0.4</v>
      </c>
      <c r="D41" s="2">
        <v>20</v>
      </c>
      <c r="E41" s="2">
        <v>1</v>
      </c>
      <c r="F41" s="2">
        <v>90</v>
      </c>
      <c r="G41" s="2">
        <v>1</v>
      </c>
      <c r="H41" s="2">
        <v>10</v>
      </c>
      <c r="I41" s="2">
        <v>0</v>
      </c>
      <c r="J41" s="2">
        <v>1</v>
      </c>
      <c r="K41">
        <f t="shared" si="0"/>
        <v>16.698037801533648</v>
      </c>
      <c r="L41">
        <f t="shared" si="1"/>
        <v>36.042170295548658</v>
      </c>
      <c r="M41">
        <f t="shared" si="2"/>
        <v>3.9714582274619936E-9</v>
      </c>
      <c r="N41">
        <f t="shared" si="3"/>
        <v>0.99999999602854184</v>
      </c>
      <c r="O41">
        <f t="shared" si="4"/>
        <v>0.99999999602854184</v>
      </c>
      <c r="P41">
        <f t="shared" si="5"/>
        <v>-3.971458170219148E-9</v>
      </c>
    </row>
    <row r="42" spans="1:16" x14ac:dyDescent="0.3">
      <c r="A42" s="2">
        <f t="shared" si="6"/>
        <v>38</v>
      </c>
      <c r="B42" s="2">
        <v>25</v>
      </c>
      <c r="C42" s="2">
        <v>0.4</v>
      </c>
      <c r="D42" s="2">
        <v>25</v>
      </c>
      <c r="E42" s="2">
        <v>1</v>
      </c>
      <c r="F42" s="2">
        <v>90</v>
      </c>
      <c r="G42" s="2">
        <v>1</v>
      </c>
      <c r="H42" s="2">
        <v>40</v>
      </c>
      <c r="I42" s="2">
        <v>1</v>
      </c>
      <c r="J42" s="2">
        <v>0</v>
      </c>
      <c r="K42">
        <f t="shared" si="0"/>
        <v>74.947590427278556</v>
      </c>
      <c r="L42">
        <f t="shared" si="1"/>
        <v>46.199347853855429</v>
      </c>
      <c r="M42">
        <f t="shared" si="2"/>
        <v>0.99999999999967271</v>
      </c>
      <c r="N42">
        <f t="shared" si="3"/>
        <v>3.2718763755697473E-13</v>
      </c>
      <c r="O42">
        <f t="shared" si="4"/>
        <v>0.99999999999967271</v>
      </c>
      <c r="P42">
        <f t="shared" si="5"/>
        <v>-3.2729374765954971E-13</v>
      </c>
    </row>
    <row r="43" spans="1:16" x14ac:dyDescent="0.3">
      <c r="A43" s="2">
        <f t="shared" si="6"/>
        <v>39</v>
      </c>
      <c r="B43" s="2">
        <v>20</v>
      </c>
      <c r="C43" s="2">
        <v>0.4</v>
      </c>
      <c r="D43" s="2">
        <v>25</v>
      </c>
      <c r="E43" s="2">
        <v>1</v>
      </c>
      <c r="F43" s="2">
        <v>90</v>
      </c>
      <c r="G43" s="2">
        <v>1</v>
      </c>
      <c r="H43" s="2">
        <v>10</v>
      </c>
      <c r="I43" s="2">
        <v>0</v>
      </c>
      <c r="J43" s="2">
        <v>1</v>
      </c>
      <c r="K43">
        <f t="shared" si="0"/>
        <v>16.698037801533648</v>
      </c>
      <c r="L43">
        <f t="shared" si="1"/>
        <v>44.883503374470401</v>
      </c>
      <c r="M43">
        <f t="shared" si="2"/>
        <v>5.7439127162139631E-13</v>
      </c>
      <c r="N43">
        <f t="shared" si="3"/>
        <v>0.99999999999942568</v>
      </c>
      <c r="O43">
        <f t="shared" si="4"/>
        <v>0.99999999999942568</v>
      </c>
      <c r="P43">
        <f t="shared" si="5"/>
        <v>-5.7431837063875837E-13</v>
      </c>
    </row>
    <row r="44" spans="1:16" x14ac:dyDescent="0.3">
      <c r="A44" s="2">
        <f t="shared" si="6"/>
        <v>40</v>
      </c>
      <c r="B44" s="2">
        <v>15</v>
      </c>
      <c r="C44" s="2">
        <v>0.8</v>
      </c>
      <c r="D44" s="2">
        <v>25</v>
      </c>
      <c r="E44" s="2">
        <v>1</v>
      </c>
      <c r="F44" s="2">
        <v>90</v>
      </c>
      <c r="G44" s="2">
        <v>0.9</v>
      </c>
      <c r="H44" s="2">
        <v>10</v>
      </c>
      <c r="I44" s="2">
        <v>0</v>
      </c>
      <c r="J44" s="2">
        <v>1</v>
      </c>
      <c r="K44">
        <f t="shared" si="0"/>
        <v>18.113461434121358</v>
      </c>
      <c r="L44">
        <f t="shared" si="1"/>
        <v>36.468554194340904</v>
      </c>
      <c r="M44">
        <f t="shared" si="2"/>
        <v>1.0677866696370474E-8</v>
      </c>
      <c r="N44">
        <f t="shared" si="3"/>
        <v>0.9999999893221333</v>
      </c>
      <c r="O44">
        <f t="shared" si="4"/>
        <v>0.9999999893221333</v>
      </c>
      <c r="P44">
        <f t="shared" si="5"/>
        <v>-1.0677866758955345E-8</v>
      </c>
    </row>
    <row r="45" spans="1:16" x14ac:dyDescent="0.3">
      <c r="A45" s="2">
        <f t="shared" si="6"/>
        <v>41</v>
      </c>
      <c r="B45" s="2">
        <v>25</v>
      </c>
      <c r="C45" s="2">
        <v>0.4</v>
      </c>
      <c r="D45" s="2">
        <v>20</v>
      </c>
      <c r="E45" s="2">
        <v>1</v>
      </c>
      <c r="F45" s="2">
        <v>45</v>
      </c>
      <c r="G45" s="2">
        <v>1</v>
      </c>
      <c r="H45" s="2">
        <v>10</v>
      </c>
      <c r="I45" s="2">
        <v>0</v>
      </c>
      <c r="J45" s="2">
        <v>1</v>
      </c>
      <c r="K45">
        <f t="shared" si="0"/>
        <v>10.980159508785752</v>
      </c>
      <c r="L45">
        <f t="shared" si="1"/>
        <v>37.358014774933686</v>
      </c>
      <c r="M45">
        <f t="shared" si="2"/>
        <v>3.5014103685725788E-12</v>
      </c>
      <c r="N45">
        <f t="shared" si="3"/>
        <v>0.99999999999649858</v>
      </c>
      <c r="O45">
        <f t="shared" si="4"/>
        <v>0.99999999999649858</v>
      </c>
      <c r="P45">
        <f t="shared" si="5"/>
        <v>-3.5014213750689486E-12</v>
      </c>
    </row>
    <row r="46" spans="1:16" x14ac:dyDescent="0.3">
      <c r="A46" s="2">
        <f t="shared" si="6"/>
        <v>42</v>
      </c>
      <c r="B46" s="2">
        <v>20</v>
      </c>
      <c r="C46" s="2">
        <v>0.4</v>
      </c>
      <c r="D46" s="2">
        <v>20</v>
      </c>
      <c r="E46" s="2">
        <v>1</v>
      </c>
      <c r="F46" s="2">
        <v>45</v>
      </c>
      <c r="G46" s="2">
        <v>1</v>
      </c>
      <c r="H46" s="2">
        <v>40</v>
      </c>
      <c r="I46" s="2">
        <v>1</v>
      </c>
      <c r="J46" s="2">
        <v>0</v>
      </c>
      <c r="K46">
        <f t="shared" si="0"/>
        <v>69.229712134530658</v>
      </c>
      <c r="L46">
        <f t="shared" si="1"/>
        <v>36.042170295548658</v>
      </c>
      <c r="M46">
        <f t="shared" si="2"/>
        <v>0.99999999999999611</v>
      </c>
      <c r="N46">
        <f t="shared" si="3"/>
        <v>3.8621906790712074E-15</v>
      </c>
      <c r="O46">
        <f t="shared" si="4"/>
        <v>0.99999999999999611</v>
      </c>
      <c r="P46">
        <f t="shared" si="5"/>
        <v>-3.8857805861880558E-15</v>
      </c>
    </row>
    <row r="47" spans="1:16" x14ac:dyDescent="0.3">
      <c r="A47" s="2">
        <f t="shared" si="6"/>
        <v>43</v>
      </c>
      <c r="B47" s="2">
        <v>20</v>
      </c>
      <c r="C47" s="2">
        <v>0.8</v>
      </c>
      <c r="D47" s="2">
        <v>15</v>
      </c>
      <c r="E47" s="2">
        <v>1</v>
      </c>
      <c r="F47" s="2">
        <v>90</v>
      </c>
      <c r="G47" s="2">
        <v>0.8</v>
      </c>
      <c r="H47" s="2">
        <v>10</v>
      </c>
      <c r="I47" s="2">
        <v>0</v>
      </c>
      <c r="J47" s="2">
        <v>1</v>
      </c>
      <c r="K47">
        <f t="shared" si="0"/>
        <v>19.528885066709069</v>
      </c>
      <c r="L47">
        <f t="shared" si="1"/>
        <v>20.101732515882446</v>
      </c>
      <c r="M47">
        <f t="shared" si="2"/>
        <v>0.3605800507636554</v>
      </c>
      <c r="N47">
        <f t="shared" si="3"/>
        <v>0.63941994923634449</v>
      </c>
      <c r="O47">
        <f t="shared" si="4"/>
        <v>0.63941994923634449</v>
      </c>
      <c r="P47">
        <f t="shared" si="5"/>
        <v>-0.44719384291137948</v>
      </c>
    </row>
    <row r="48" spans="1:16" x14ac:dyDescent="0.3">
      <c r="A48" s="2">
        <f t="shared" si="6"/>
        <v>44</v>
      </c>
      <c r="B48" s="2">
        <v>20</v>
      </c>
      <c r="C48" s="2">
        <v>0.4</v>
      </c>
      <c r="D48" s="2">
        <v>25</v>
      </c>
      <c r="E48" s="2">
        <v>1</v>
      </c>
      <c r="F48" s="2">
        <v>45</v>
      </c>
      <c r="G48" s="2">
        <v>0.8</v>
      </c>
      <c r="H48" s="2">
        <v>40</v>
      </c>
      <c r="I48" s="2">
        <v>1</v>
      </c>
      <c r="J48" s="2">
        <v>0</v>
      </c>
      <c r="K48">
        <f t="shared" si="0"/>
        <v>72.060559399706079</v>
      </c>
      <c r="L48">
        <f t="shared" si="1"/>
        <v>44.883503374470401</v>
      </c>
      <c r="M48">
        <f t="shared" si="2"/>
        <v>0.99999999999842548</v>
      </c>
      <c r="N48">
        <f t="shared" si="3"/>
        <v>1.574543030306877E-12</v>
      </c>
      <c r="O48">
        <f t="shared" si="4"/>
        <v>0.99999999999842548</v>
      </c>
      <c r="P48">
        <f t="shared" si="5"/>
        <v>-1.5745182935246366E-12</v>
      </c>
    </row>
    <row r="49" spans="1:16" x14ac:dyDescent="0.3">
      <c r="A49" s="2">
        <f t="shared" si="6"/>
        <v>45</v>
      </c>
      <c r="B49" s="2">
        <v>20</v>
      </c>
      <c r="C49" s="2">
        <v>0.4</v>
      </c>
      <c r="D49" s="2">
        <v>20</v>
      </c>
      <c r="E49" s="2">
        <v>1</v>
      </c>
      <c r="F49" s="2">
        <v>90</v>
      </c>
      <c r="G49" s="2">
        <v>1</v>
      </c>
      <c r="H49" s="2">
        <v>40</v>
      </c>
      <c r="I49" s="2">
        <v>1</v>
      </c>
      <c r="J49" s="2">
        <v>0</v>
      </c>
      <c r="K49">
        <f t="shared" si="0"/>
        <v>74.947590427278556</v>
      </c>
      <c r="L49">
        <f t="shared" si="1"/>
        <v>36.042170295548658</v>
      </c>
      <c r="M49">
        <f t="shared" si="2"/>
        <v>1</v>
      </c>
      <c r="N49">
        <f t="shared" si="3"/>
        <v>1.2693772795664478E-17</v>
      </c>
      <c r="O49">
        <f t="shared" si="4"/>
        <v>1</v>
      </c>
      <c r="P49">
        <f t="shared" si="5"/>
        <v>0</v>
      </c>
    </row>
    <row r="50" spans="1:16" x14ac:dyDescent="0.3">
      <c r="A50" s="2">
        <f t="shared" si="6"/>
        <v>46</v>
      </c>
      <c r="B50" s="2">
        <v>25</v>
      </c>
      <c r="C50" s="2">
        <v>0.6</v>
      </c>
      <c r="D50" s="2">
        <v>15</v>
      </c>
      <c r="E50" s="2">
        <v>1</v>
      </c>
      <c r="F50" s="2">
        <v>90</v>
      </c>
      <c r="G50" s="2">
        <v>1</v>
      </c>
      <c r="H50" s="2">
        <v>20</v>
      </c>
      <c r="I50" s="2">
        <v>1</v>
      </c>
      <c r="J50" s="2">
        <v>0</v>
      </c>
      <c r="K50">
        <f t="shared" si="0"/>
        <v>36.114555343448615</v>
      </c>
      <c r="L50">
        <f t="shared" si="1"/>
        <v>24.967129345639712</v>
      </c>
      <c r="M50">
        <f t="shared" si="2"/>
        <v>0.99998558787093939</v>
      </c>
      <c r="N50">
        <f t="shared" si="3"/>
        <v>1.4412129060565476E-5</v>
      </c>
      <c r="O50">
        <f t="shared" si="4"/>
        <v>0.99998558787093939</v>
      </c>
      <c r="P50">
        <f t="shared" si="5"/>
        <v>-1.4412232916344616E-5</v>
      </c>
    </row>
    <row r="51" spans="1:16" x14ac:dyDescent="0.3">
      <c r="A51" s="2">
        <f t="shared" si="6"/>
        <v>47</v>
      </c>
      <c r="B51" s="2">
        <v>15</v>
      </c>
      <c r="C51" s="2">
        <v>0.8</v>
      </c>
      <c r="D51" s="2">
        <v>20</v>
      </c>
      <c r="E51" s="2">
        <v>1</v>
      </c>
      <c r="F51" s="2">
        <v>45</v>
      </c>
      <c r="G51" s="2">
        <v>0.8</v>
      </c>
      <c r="H51" s="2">
        <v>10</v>
      </c>
      <c r="I51" s="2">
        <v>0</v>
      </c>
      <c r="J51" s="2">
        <v>1</v>
      </c>
      <c r="K51">
        <f t="shared" si="0"/>
        <v>13.811006773961173</v>
      </c>
      <c r="L51">
        <f t="shared" si="1"/>
        <v>27.627221115419157</v>
      </c>
      <c r="M51">
        <f t="shared" si="2"/>
        <v>9.9929546551137928E-7</v>
      </c>
      <c r="N51">
        <f t="shared" si="3"/>
        <v>0.99999900070453451</v>
      </c>
      <c r="O51">
        <f t="shared" si="4"/>
        <v>0.99999900070453451</v>
      </c>
      <c r="P51">
        <f t="shared" si="5"/>
        <v>-9.9929596478298421E-7</v>
      </c>
    </row>
    <row r="52" spans="1:16" x14ac:dyDescent="0.3">
      <c r="A52" s="2">
        <f t="shared" si="6"/>
        <v>48</v>
      </c>
      <c r="B52" s="2">
        <v>15</v>
      </c>
      <c r="C52" s="2">
        <v>0.4</v>
      </c>
      <c r="D52" s="2">
        <v>15</v>
      </c>
      <c r="E52" s="2">
        <v>1</v>
      </c>
      <c r="F52" s="2">
        <v>90</v>
      </c>
      <c r="G52" s="2">
        <v>1</v>
      </c>
      <c r="H52" s="2">
        <v>20</v>
      </c>
      <c r="I52" s="2">
        <v>1</v>
      </c>
      <c r="J52" s="2">
        <v>0</v>
      </c>
      <c r="K52">
        <f t="shared" si="0"/>
        <v>36.114555343448615</v>
      </c>
      <c r="L52">
        <f t="shared" si="1"/>
        <v>25.884992737241895</v>
      </c>
      <c r="M52">
        <f t="shared" si="2"/>
        <v>0.99996391375149751</v>
      </c>
      <c r="N52">
        <f t="shared" si="3"/>
        <v>3.6086248502469158E-5</v>
      </c>
      <c r="O52">
        <f t="shared" si="4"/>
        <v>0.99996391375149751</v>
      </c>
      <c r="P52">
        <f t="shared" si="5"/>
        <v>-3.6086899626817058E-5</v>
      </c>
    </row>
    <row r="53" spans="1:16" x14ac:dyDescent="0.3">
      <c r="A53" s="2">
        <f t="shared" si="6"/>
        <v>49</v>
      </c>
      <c r="B53" s="2">
        <v>25</v>
      </c>
      <c r="C53" s="2">
        <v>0.6</v>
      </c>
      <c r="D53" s="2">
        <v>25</v>
      </c>
      <c r="E53" s="2">
        <v>1</v>
      </c>
      <c r="F53" s="2">
        <v>90</v>
      </c>
      <c r="G53" s="2">
        <v>0.9</v>
      </c>
      <c r="H53" s="2">
        <v>10</v>
      </c>
      <c r="I53" s="2">
        <v>0</v>
      </c>
      <c r="J53" s="2">
        <v>1</v>
      </c>
      <c r="K53">
        <f t="shared" si="0"/>
        <v>18.113461434121358</v>
      </c>
      <c r="L53">
        <f t="shared" si="1"/>
        <v>42.649795503483197</v>
      </c>
      <c r="M53">
        <f t="shared" si="2"/>
        <v>2.2080327341423445E-11</v>
      </c>
      <c r="N53">
        <f t="shared" si="3"/>
        <v>0.99999999997791966</v>
      </c>
      <c r="O53">
        <f t="shared" si="4"/>
        <v>0.99999999997791966</v>
      </c>
      <c r="P53">
        <f t="shared" si="5"/>
        <v>-2.2080337558593808E-11</v>
      </c>
    </row>
    <row r="54" spans="1:16" x14ac:dyDescent="0.3">
      <c r="A54" s="2">
        <f t="shared" si="6"/>
        <v>50</v>
      </c>
      <c r="B54" s="2">
        <v>25</v>
      </c>
      <c r="C54" s="2">
        <v>0.4</v>
      </c>
      <c r="D54" s="2">
        <v>15</v>
      </c>
      <c r="E54" s="2">
        <v>1</v>
      </c>
      <c r="F54" s="2">
        <v>45</v>
      </c>
      <c r="G54" s="2">
        <v>0.9</v>
      </c>
      <c r="H54" s="2">
        <v>40</v>
      </c>
      <c r="I54" s="2">
        <v>1</v>
      </c>
      <c r="J54" s="2">
        <v>0</v>
      </c>
      <c r="K54">
        <f t="shared" si="0"/>
        <v>70.645135767118376</v>
      </c>
      <c r="L54">
        <f t="shared" si="1"/>
        <v>28.51668169601195</v>
      </c>
      <c r="M54">
        <f t="shared" si="2"/>
        <v>1</v>
      </c>
      <c r="N54">
        <f t="shared" si="3"/>
        <v>5.0564400880119605E-19</v>
      </c>
      <c r="O54">
        <f t="shared" si="4"/>
        <v>1</v>
      </c>
      <c r="P54">
        <f t="shared" si="5"/>
        <v>0</v>
      </c>
    </row>
    <row r="55" spans="1:16" x14ac:dyDescent="0.3">
      <c r="A55" s="2">
        <f t="shared" si="6"/>
        <v>51</v>
      </c>
      <c r="B55" s="2">
        <v>15</v>
      </c>
      <c r="C55" s="2">
        <v>0.8</v>
      </c>
      <c r="D55" s="2">
        <v>20</v>
      </c>
      <c r="E55" s="2">
        <v>1</v>
      </c>
      <c r="F55" s="2">
        <v>45</v>
      </c>
      <c r="G55" s="2">
        <v>1</v>
      </c>
      <c r="H55" s="2">
        <v>20</v>
      </c>
      <c r="I55" s="2">
        <v>1</v>
      </c>
      <c r="J55" s="2">
        <v>0</v>
      </c>
      <c r="K55">
        <f t="shared" si="0"/>
        <v>30.396677050700724</v>
      </c>
      <c r="L55">
        <f t="shared" si="1"/>
        <v>27.627221115419157</v>
      </c>
      <c r="M55">
        <f t="shared" si="2"/>
        <v>0.94100278919066127</v>
      </c>
      <c r="N55">
        <f t="shared" si="3"/>
        <v>5.8997210809338715E-2</v>
      </c>
      <c r="O55">
        <f t="shared" si="4"/>
        <v>0.94100278919066127</v>
      </c>
      <c r="P55">
        <f t="shared" si="5"/>
        <v>-6.0809175330309384E-2</v>
      </c>
    </row>
    <row r="56" spans="1:16" x14ac:dyDescent="0.3">
      <c r="A56" s="2">
        <f t="shared" si="6"/>
        <v>52</v>
      </c>
      <c r="B56" s="2">
        <v>15</v>
      </c>
      <c r="C56" s="2">
        <v>0.8</v>
      </c>
      <c r="D56" s="2">
        <v>15</v>
      </c>
      <c r="E56" s="2">
        <v>1</v>
      </c>
      <c r="F56" s="2">
        <v>90</v>
      </c>
      <c r="G56" s="2">
        <v>1</v>
      </c>
      <c r="H56" s="2">
        <v>40</v>
      </c>
      <c r="I56" s="2">
        <v>1</v>
      </c>
      <c r="J56" s="2">
        <v>0</v>
      </c>
      <c r="K56">
        <f t="shared" si="0"/>
        <v>74.947590427278556</v>
      </c>
      <c r="L56">
        <f t="shared" si="1"/>
        <v>18.785888036497418</v>
      </c>
      <c r="M56">
        <f t="shared" si="2"/>
        <v>1</v>
      </c>
      <c r="N56">
        <f t="shared" si="3"/>
        <v>4.0670785229164033E-25</v>
      </c>
      <c r="O56">
        <f t="shared" si="4"/>
        <v>1</v>
      </c>
      <c r="P56">
        <f t="shared" si="5"/>
        <v>0</v>
      </c>
    </row>
    <row r="57" spans="1:16" x14ac:dyDescent="0.3">
      <c r="A57" s="2">
        <f t="shared" si="6"/>
        <v>53</v>
      </c>
      <c r="B57" s="2">
        <v>15</v>
      </c>
      <c r="C57" s="2">
        <v>0.4</v>
      </c>
      <c r="D57" s="2">
        <v>25</v>
      </c>
      <c r="E57" s="2">
        <v>1</v>
      </c>
      <c r="F57" s="2">
        <v>90</v>
      </c>
      <c r="G57" s="2">
        <v>0.9</v>
      </c>
      <c r="H57" s="2">
        <v>20</v>
      </c>
      <c r="I57" s="2">
        <v>0</v>
      </c>
      <c r="J57" s="2">
        <v>1</v>
      </c>
      <c r="K57">
        <f t="shared" si="0"/>
        <v>37.529978976036332</v>
      </c>
      <c r="L57">
        <f t="shared" si="1"/>
        <v>43.567658895085373</v>
      </c>
      <c r="M57">
        <f t="shared" si="2"/>
        <v>2.3814061052877126E-3</v>
      </c>
      <c r="N57">
        <f t="shared" si="3"/>
        <v>0.9976185938947123</v>
      </c>
      <c r="O57">
        <f t="shared" si="4"/>
        <v>0.9976185938947123</v>
      </c>
      <c r="P57">
        <f t="shared" si="5"/>
        <v>-2.3842461625893092E-3</v>
      </c>
    </row>
    <row r="58" spans="1:16" x14ac:dyDescent="0.3">
      <c r="A58" s="2">
        <f t="shared" si="6"/>
        <v>54</v>
      </c>
      <c r="B58" s="2">
        <v>20</v>
      </c>
      <c r="C58" s="2">
        <v>0.8</v>
      </c>
      <c r="D58" s="2">
        <v>25</v>
      </c>
      <c r="E58" s="2">
        <v>1</v>
      </c>
      <c r="F58" s="2">
        <v>45</v>
      </c>
      <c r="G58" s="2">
        <v>0.8</v>
      </c>
      <c r="H58" s="2">
        <v>40</v>
      </c>
      <c r="I58" s="2">
        <v>1</v>
      </c>
      <c r="J58" s="2">
        <v>0</v>
      </c>
      <c r="K58">
        <f t="shared" si="0"/>
        <v>72.060559399706079</v>
      </c>
      <c r="L58">
        <f t="shared" si="1"/>
        <v>37.784398673725924</v>
      </c>
      <c r="M58">
        <f t="shared" si="2"/>
        <v>0.99999999999999878</v>
      </c>
      <c r="N58">
        <f t="shared" si="3"/>
        <v>1.3003268668881249E-15</v>
      </c>
      <c r="O58">
        <f t="shared" si="4"/>
        <v>0.99999999999999878</v>
      </c>
      <c r="P58">
        <f t="shared" si="5"/>
        <v>-1.221245327087673E-15</v>
      </c>
    </row>
    <row r="59" spans="1:16" x14ac:dyDescent="0.3">
      <c r="A59" s="2">
        <f t="shared" si="6"/>
        <v>55</v>
      </c>
      <c r="B59" s="2">
        <v>15</v>
      </c>
      <c r="C59" s="2">
        <v>0.4</v>
      </c>
      <c r="D59" s="2">
        <v>25</v>
      </c>
      <c r="E59" s="2">
        <v>1</v>
      </c>
      <c r="F59" s="2">
        <v>60</v>
      </c>
      <c r="G59" s="2">
        <v>0.8</v>
      </c>
      <c r="H59" s="2">
        <v>10</v>
      </c>
      <c r="I59" s="2">
        <v>0</v>
      </c>
      <c r="J59" s="2">
        <v>1</v>
      </c>
      <c r="K59">
        <f t="shared" si="0"/>
        <v>15.716966204877139</v>
      </c>
      <c r="L59">
        <f t="shared" si="1"/>
        <v>43.567658895085373</v>
      </c>
      <c r="M59">
        <f t="shared" si="2"/>
        <v>8.0278240906208371E-13</v>
      </c>
      <c r="N59">
        <f t="shared" si="3"/>
        <v>0.9999999999991972</v>
      </c>
      <c r="O59">
        <f t="shared" si="4"/>
        <v>0.9999999999991972</v>
      </c>
      <c r="P59">
        <f t="shared" si="5"/>
        <v>-8.028022691067729E-13</v>
      </c>
    </row>
    <row r="60" spans="1:16" x14ac:dyDescent="0.3">
      <c r="A60" s="2">
        <f t="shared" si="6"/>
        <v>56</v>
      </c>
      <c r="B60" s="2">
        <v>15</v>
      </c>
      <c r="C60" s="2">
        <v>0.8</v>
      </c>
      <c r="D60" s="2">
        <v>20</v>
      </c>
      <c r="E60" s="2">
        <v>1</v>
      </c>
      <c r="F60" s="2">
        <v>45</v>
      </c>
      <c r="G60" s="2">
        <v>0.9</v>
      </c>
      <c r="H60" s="2">
        <v>10</v>
      </c>
      <c r="I60" s="2">
        <v>0</v>
      </c>
      <c r="J60" s="2">
        <v>1</v>
      </c>
      <c r="K60">
        <f t="shared" si="0"/>
        <v>12.395583141373463</v>
      </c>
      <c r="L60">
        <f t="shared" si="1"/>
        <v>27.627221115419157</v>
      </c>
      <c r="M60">
        <f t="shared" si="2"/>
        <v>2.4265183065499071E-7</v>
      </c>
      <c r="N60">
        <f t="shared" si="3"/>
        <v>0.99999975734816926</v>
      </c>
      <c r="O60">
        <f t="shared" si="4"/>
        <v>0.99999975734816926</v>
      </c>
      <c r="P60">
        <f t="shared" si="5"/>
        <v>-2.4265186017964213E-7</v>
      </c>
    </row>
    <row r="61" spans="1:16" x14ac:dyDescent="0.3">
      <c r="A61" s="2">
        <f t="shared" si="6"/>
        <v>57</v>
      </c>
      <c r="B61" s="2">
        <v>20</v>
      </c>
      <c r="C61" s="2">
        <v>0.6</v>
      </c>
      <c r="D61" s="2">
        <v>25</v>
      </c>
      <c r="E61" s="2">
        <v>1</v>
      </c>
      <c r="F61" s="2">
        <v>60</v>
      </c>
      <c r="G61" s="2">
        <v>0.9</v>
      </c>
      <c r="H61" s="2">
        <v>20</v>
      </c>
      <c r="I61" s="2">
        <v>0</v>
      </c>
      <c r="J61" s="2">
        <v>1</v>
      </c>
      <c r="K61">
        <f t="shared" si="0"/>
        <v>33.718060114204398</v>
      </c>
      <c r="L61">
        <f t="shared" si="1"/>
        <v>41.33395102409817</v>
      </c>
      <c r="M61">
        <f t="shared" si="2"/>
        <v>4.9231916113999595E-4</v>
      </c>
      <c r="N61">
        <f t="shared" si="3"/>
        <v>0.99950768083885999</v>
      </c>
      <c r="O61">
        <f t="shared" si="4"/>
        <v>0.99950768083885999</v>
      </c>
      <c r="P61">
        <f t="shared" si="5"/>
        <v>-4.9244039000871794E-4</v>
      </c>
    </row>
    <row r="62" spans="1:16" x14ac:dyDescent="0.3">
      <c r="A62" s="2">
        <f t="shared" si="6"/>
        <v>58</v>
      </c>
      <c r="B62" s="2">
        <v>15</v>
      </c>
      <c r="C62" s="2">
        <v>0.6</v>
      </c>
      <c r="D62" s="2">
        <v>20</v>
      </c>
      <c r="E62" s="2">
        <v>1</v>
      </c>
      <c r="F62" s="2">
        <v>60</v>
      </c>
      <c r="G62" s="2">
        <v>1</v>
      </c>
      <c r="H62" s="2">
        <v>10</v>
      </c>
      <c r="I62" s="2">
        <v>0</v>
      </c>
      <c r="J62" s="2">
        <v>1</v>
      </c>
      <c r="K62">
        <f t="shared" si="0"/>
        <v>12.886118939701717</v>
      </c>
      <c r="L62">
        <f t="shared" si="1"/>
        <v>31.176773465791396</v>
      </c>
      <c r="M62">
        <f t="shared" si="2"/>
        <v>1.1388582283922244E-8</v>
      </c>
      <c r="N62">
        <f t="shared" si="3"/>
        <v>0.9999999886114177</v>
      </c>
      <c r="O62">
        <f t="shared" si="4"/>
        <v>0.9999999886114177</v>
      </c>
      <c r="P62">
        <f t="shared" si="5"/>
        <v>-1.1388582364281864E-8</v>
      </c>
    </row>
    <row r="63" spans="1:16" x14ac:dyDescent="0.3">
      <c r="A63" s="2">
        <f t="shared" si="6"/>
        <v>59</v>
      </c>
      <c r="B63" s="2">
        <v>25</v>
      </c>
      <c r="C63" s="2">
        <v>0.4</v>
      </c>
      <c r="D63" s="2">
        <v>15</v>
      </c>
      <c r="E63" s="2">
        <v>1</v>
      </c>
      <c r="F63" s="2">
        <v>90</v>
      </c>
      <c r="G63" s="2">
        <v>0.8</v>
      </c>
      <c r="H63" s="2">
        <v>40</v>
      </c>
      <c r="I63" s="2">
        <v>1</v>
      </c>
      <c r="J63" s="2">
        <v>0</v>
      </c>
      <c r="K63">
        <f t="shared" si="0"/>
        <v>77.778437692453977</v>
      </c>
      <c r="L63">
        <f t="shared" si="1"/>
        <v>28.51668169601195</v>
      </c>
      <c r="M63">
        <f t="shared" si="2"/>
        <v>1</v>
      </c>
      <c r="N63">
        <f t="shared" si="3"/>
        <v>4.0354428562907289E-22</v>
      </c>
      <c r="O63">
        <f t="shared" si="4"/>
        <v>1</v>
      </c>
      <c r="P63">
        <f t="shared" si="5"/>
        <v>0</v>
      </c>
    </row>
    <row r="64" spans="1:16" x14ac:dyDescent="0.3">
      <c r="A64" s="2">
        <f t="shared" si="6"/>
        <v>60</v>
      </c>
      <c r="B64" s="2">
        <v>15</v>
      </c>
      <c r="C64" s="2">
        <v>0.6</v>
      </c>
      <c r="D64" s="2">
        <v>15</v>
      </c>
      <c r="E64" s="2">
        <v>1</v>
      </c>
      <c r="F64" s="2">
        <v>45</v>
      </c>
      <c r="G64" s="2">
        <v>0.8</v>
      </c>
      <c r="H64" s="2">
        <v>40</v>
      </c>
      <c r="I64" s="2">
        <v>1</v>
      </c>
      <c r="J64" s="2">
        <v>0</v>
      </c>
      <c r="K64">
        <f t="shared" si="0"/>
        <v>72.060559399706079</v>
      </c>
      <c r="L64">
        <f t="shared" si="1"/>
        <v>22.335440386869656</v>
      </c>
      <c r="M64">
        <f t="shared" si="2"/>
        <v>1</v>
      </c>
      <c r="N64">
        <f t="shared" si="3"/>
        <v>2.5389561526358101E-22</v>
      </c>
      <c r="O64">
        <f t="shared" si="4"/>
        <v>1</v>
      </c>
      <c r="P64">
        <f t="shared" si="5"/>
        <v>0</v>
      </c>
    </row>
    <row r="65" spans="1:16" x14ac:dyDescent="0.3">
      <c r="A65" s="2">
        <f t="shared" si="6"/>
        <v>61</v>
      </c>
      <c r="B65" s="2">
        <v>25</v>
      </c>
      <c r="C65" s="2">
        <v>0.6</v>
      </c>
      <c r="D65" s="2">
        <v>25</v>
      </c>
      <c r="E65" s="2">
        <v>1</v>
      </c>
      <c r="F65" s="2">
        <v>90</v>
      </c>
      <c r="G65" s="2">
        <v>0.8</v>
      </c>
      <c r="H65" s="2">
        <v>10</v>
      </c>
      <c r="I65" s="2">
        <v>0</v>
      </c>
      <c r="J65" s="2">
        <v>1</v>
      </c>
      <c r="K65">
        <f t="shared" si="0"/>
        <v>19.528885066709069</v>
      </c>
      <c r="L65">
        <f t="shared" si="1"/>
        <v>42.649795503483197</v>
      </c>
      <c r="M65">
        <f t="shared" si="2"/>
        <v>9.0931882209163013E-11</v>
      </c>
      <c r="N65">
        <f t="shared" si="3"/>
        <v>0.99999999990906807</v>
      </c>
      <c r="O65">
        <f t="shared" si="4"/>
        <v>0.99999999990906807</v>
      </c>
      <c r="P65">
        <f t="shared" si="5"/>
        <v>-9.093192865763806E-11</v>
      </c>
    </row>
    <row r="66" spans="1:16" x14ac:dyDescent="0.3">
      <c r="A66" s="2">
        <f t="shared" si="6"/>
        <v>62</v>
      </c>
      <c r="B66" s="2">
        <v>15</v>
      </c>
      <c r="C66" s="2">
        <v>0.4</v>
      </c>
      <c r="D66" s="2">
        <v>25</v>
      </c>
      <c r="E66" s="2">
        <v>1</v>
      </c>
      <c r="F66" s="2">
        <v>45</v>
      </c>
      <c r="G66" s="2">
        <v>0.9</v>
      </c>
      <c r="H66" s="2">
        <v>10</v>
      </c>
      <c r="I66" s="2">
        <v>0</v>
      </c>
      <c r="J66" s="2">
        <v>1</v>
      </c>
      <c r="K66">
        <f t="shared" si="0"/>
        <v>12.395583141373463</v>
      </c>
      <c r="L66">
        <f t="shared" si="1"/>
        <v>43.567658895085373</v>
      </c>
      <c r="M66">
        <f t="shared" si="2"/>
        <v>2.8982744660757503E-14</v>
      </c>
      <c r="N66">
        <f t="shared" si="3"/>
        <v>0.99999999999997102</v>
      </c>
      <c r="O66">
        <f t="shared" si="4"/>
        <v>0.99999999999997102</v>
      </c>
      <c r="P66">
        <f t="shared" si="5"/>
        <v>-2.8976820942717009E-14</v>
      </c>
    </row>
    <row r="67" spans="1:16" x14ac:dyDescent="0.3">
      <c r="A67" s="2">
        <f t="shared" si="6"/>
        <v>63</v>
      </c>
      <c r="B67" s="2">
        <v>20</v>
      </c>
      <c r="C67" s="2">
        <v>0.8</v>
      </c>
      <c r="D67" s="2">
        <v>20</v>
      </c>
      <c r="E67" s="2">
        <v>1</v>
      </c>
      <c r="F67" s="2">
        <v>90</v>
      </c>
      <c r="G67" s="2">
        <v>1</v>
      </c>
      <c r="H67" s="2">
        <v>20</v>
      </c>
      <c r="I67" s="2">
        <v>1</v>
      </c>
      <c r="J67" s="2">
        <v>0</v>
      </c>
      <c r="K67">
        <f t="shared" si="0"/>
        <v>36.114555343448615</v>
      </c>
      <c r="L67">
        <f t="shared" si="1"/>
        <v>28.943065594804185</v>
      </c>
      <c r="M67">
        <f t="shared" si="2"/>
        <v>0.99923241215669456</v>
      </c>
      <c r="N67">
        <f t="shared" si="3"/>
        <v>7.6758784330542118E-4</v>
      </c>
      <c r="O67">
        <f t="shared" si="4"/>
        <v>0.99923241215669456</v>
      </c>
      <c r="P67">
        <f t="shared" si="5"/>
        <v>-7.6788258969284903E-4</v>
      </c>
    </row>
    <row r="68" spans="1:16" x14ac:dyDescent="0.3">
      <c r="A68" s="2">
        <f t="shared" si="6"/>
        <v>64</v>
      </c>
      <c r="B68" s="2">
        <v>20</v>
      </c>
      <c r="C68" s="2">
        <v>0.4</v>
      </c>
      <c r="D68" s="2">
        <v>15</v>
      </c>
      <c r="E68" s="2">
        <v>1</v>
      </c>
      <c r="F68" s="2">
        <v>90</v>
      </c>
      <c r="G68" s="2">
        <v>0.9</v>
      </c>
      <c r="H68" s="2">
        <v>10</v>
      </c>
      <c r="I68" s="2">
        <v>0</v>
      </c>
      <c r="J68" s="2">
        <v>1</v>
      </c>
      <c r="K68">
        <f t="shared" si="0"/>
        <v>18.113461434121358</v>
      </c>
      <c r="L68">
        <f t="shared" si="1"/>
        <v>27.200837216626923</v>
      </c>
      <c r="M68">
        <f t="shared" si="2"/>
        <v>1.1307165099998089E-4</v>
      </c>
      <c r="N68">
        <f t="shared" si="3"/>
        <v>0.99988692834899995</v>
      </c>
      <c r="O68">
        <f t="shared" si="4"/>
        <v>0.99988692834899995</v>
      </c>
      <c r="P68">
        <f t="shared" si="5"/>
        <v>-1.1307804408110375E-4</v>
      </c>
    </row>
    <row r="69" spans="1:16" x14ac:dyDescent="0.3">
      <c r="A69" s="2">
        <f t="shared" si="6"/>
        <v>65</v>
      </c>
      <c r="B69" s="2">
        <v>15</v>
      </c>
      <c r="C69" s="2">
        <v>0.4</v>
      </c>
      <c r="D69" s="2">
        <v>15</v>
      </c>
      <c r="E69" s="2">
        <v>1</v>
      </c>
      <c r="F69" s="2">
        <v>90</v>
      </c>
      <c r="G69" s="2">
        <v>1</v>
      </c>
      <c r="H69" s="2">
        <v>20</v>
      </c>
      <c r="I69" s="2">
        <v>1</v>
      </c>
      <c r="J69" s="2">
        <v>0</v>
      </c>
      <c r="K69">
        <f t="shared" si="0"/>
        <v>36.114555343448615</v>
      </c>
      <c r="L69">
        <f t="shared" si="1"/>
        <v>25.884992737241895</v>
      </c>
      <c r="M69">
        <f t="shared" si="2"/>
        <v>0.99996391375149751</v>
      </c>
      <c r="N69">
        <f t="shared" si="3"/>
        <v>3.6086248502469158E-5</v>
      </c>
      <c r="O69">
        <f t="shared" si="4"/>
        <v>0.99996391375149751</v>
      </c>
      <c r="P69">
        <f t="shared" si="5"/>
        <v>-3.6086899626817058E-5</v>
      </c>
    </row>
    <row r="70" spans="1:16" x14ac:dyDescent="0.3">
      <c r="A70" s="2">
        <f t="shared" si="6"/>
        <v>66</v>
      </c>
      <c r="B70" s="2">
        <v>20</v>
      </c>
      <c r="C70" s="2">
        <v>0.4</v>
      </c>
      <c r="D70" s="2">
        <v>25</v>
      </c>
      <c r="E70" s="2">
        <v>1</v>
      </c>
      <c r="F70" s="2">
        <v>45</v>
      </c>
      <c r="G70" s="2">
        <v>1</v>
      </c>
      <c r="H70" s="2">
        <v>20</v>
      </c>
      <c r="I70" s="2">
        <v>0</v>
      </c>
      <c r="J70" s="2">
        <v>1</v>
      </c>
      <c r="K70">
        <f t="shared" ref="K70:K133" si="7">$F$3*F70+$G$3*G70+$H$3*H70</f>
        <v>30.396677050700724</v>
      </c>
      <c r="L70">
        <f t="shared" ref="L70:L133" si="8">$B$3*B70+$C$3*C70+$D$3*D70+$E$3*E70</f>
        <v>44.883503374470401</v>
      </c>
      <c r="M70">
        <f t="shared" ref="M70:M133" si="9">EXP(K70)/(EXP(K70)+EXP(L70))</f>
        <v>5.1103547073105792E-7</v>
      </c>
      <c r="N70">
        <f t="shared" ref="N70:N133" si="10">EXP(L70)/(EXP(L70)+EXP(K70))</f>
        <v>0.99999948896452928</v>
      </c>
      <c r="O70">
        <f t="shared" ref="O70:O133" si="11">I70*M70+J70*N70</f>
        <v>0.99999948896452928</v>
      </c>
      <c r="P70">
        <f t="shared" ref="P70:P133" si="12">LN(O70)</f>
        <v>-5.1103560129696131E-7</v>
      </c>
    </row>
    <row r="71" spans="1:16" x14ac:dyDescent="0.3">
      <c r="A71" s="2">
        <f t="shared" ref="A71:A134" si="13">A70+1</f>
        <v>67</v>
      </c>
      <c r="B71" s="2">
        <v>15</v>
      </c>
      <c r="C71" s="2">
        <v>0.6</v>
      </c>
      <c r="D71" s="2">
        <v>20</v>
      </c>
      <c r="E71" s="2">
        <v>1</v>
      </c>
      <c r="F71" s="2">
        <v>60</v>
      </c>
      <c r="G71" s="2">
        <v>1</v>
      </c>
      <c r="H71" s="2">
        <v>40</v>
      </c>
      <c r="I71" s="2">
        <v>1</v>
      </c>
      <c r="J71" s="2">
        <v>0</v>
      </c>
      <c r="K71">
        <f t="shared" si="7"/>
        <v>71.135671565446629</v>
      </c>
      <c r="L71">
        <f t="shared" si="8"/>
        <v>31.176773465791396</v>
      </c>
      <c r="M71">
        <f t="shared" si="9"/>
        <v>1</v>
      </c>
      <c r="N71">
        <f t="shared" si="10"/>
        <v>4.4266078758658794E-18</v>
      </c>
      <c r="O71">
        <f t="shared" si="11"/>
        <v>1</v>
      </c>
      <c r="P71">
        <f t="shared" si="12"/>
        <v>0</v>
      </c>
    </row>
    <row r="72" spans="1:16" x14ac:dyDescent="0.3">
      <c r="A72" s="2">
        <f t="shared" si="13"/>
        <v>68</v>
      </c>
      <c r="B72" s="2">
        <v>25</v>
      </c>
      <c r="C72" s="2">
        <v>0.8</v>
      </c>
      <c r="D72" s="2">
        <v>25</v>
      </c>
      <c r="E72" s="2">
        <v>1</v>
      </c>
      <c r="F72" s="2">
        <v>90</v>
      </c>
      <c r="G72" s="2">
        <v>0.9</v>
      </c>
      <c r="H72" s="2">
        <v>40</v>
      </c>
      <c r="I72" s="2">
        <v>1</v>
      </c>
      <c r="J72" s="2">
        <v>0</v>
      </c>
      <c r="K72">
        <f t="shared" si="7"/>
        <v>76.363014059866273</v>
      </c>
      <c r="L72">
        <f t="shared" si="8"/>
        <v>39.100243153110959</v>
      </c>
      <c r="M72">
        <f t="shared" si="9"/>
        <v>1</v>
      </c>
      <c r="N72">
        <f t="shared" si="10"/>
        <v>6.5612141793411103E-17</v>
      </c>
      <c r="O72">
        <f t="shared" si="11"/>
        <v>1</v>
      </c>
      <c r="P72">
        <f t="shared" si="12"/>
        <v>0</v>
      </c>
    </row>
    <row r="73" spans="1:16" x14ac:dyDescent="0.3">
      <c r="A73" s="2">
        <f t="shared" si="13"/>
        <v>69</v>
      </c>
      <c r="B73" s="2">
        <v>15</v>
      </c>
      <c r="C73" s="2">
        <v>0.6</v>
      </c>
      <c r="D73" s="2">
        <v>20</v>
      </c>
      <c r="E73" s="2">
        <v>1</v>
      </c>
      <c r="F73" s="2">
        <v>45</v>
      </c>
      <c r="G73" s="2">
        <v>0.9</v>
      </c>
      <c r="H73" s="2">
        <v>40</v>
      </c>
      <c r="I73" s="2">
        <v>1</v>
      </c>
      <c r="J73" s="2">
        <v>0</v>
      </c>
      <c r="K73">
        <f t="shared" si="7"/>
        <v>70.645135767118376</v>
      </c>
      <c r="L73">
        <f t="shared" si="8"/>
        <v>31.176773465791396</v>
      </c>
      <c r="M73">
        <f t="shared" si="9"/>
        <v>1</v>
      </c>
      <c r="N73">
        <f t="shared" si="10"/>
        <v>7.2294963496803228E-18</v>
      </c>
      <c r="O73">
        <f t="shared" si="11"/>
        <v>1</v>
      </c>
      <c r="P73">
        <f t="shared" si="12"/>
        <v>0</v>
      </c>
    </row>
    <row r="74" spans="1:16" x14ac:dyDescent="0.3">
      <c r="A74" s="2">
        <f t="shared" si="13"/>
        <v>70</v>
      </c>
      <c r="B74" s="2">
        <v>15</v>
      </c>
      <c r="C74" s="2">
        <v>0.8</v>
      </c>
      <c r="D74" s="2">
        <v>15</v>
      </c>
      <c r="E74" s="2">
        <v>1</v>
      </c>
      <c r="F74" s="2">
        <v>60</v>
      </c>
      <c r="G74" s="2">
        <v>0.9</v>
      </c>
      <c r="H74" s="2">
        <v>10</v>
      </c>
      <c r="I74" s="2">
        <v>0</v>
      </c>
      <c r="J74" s="2">
        <v>1</v>
      </c>
      <c r="K74">
        <f t="shared" si="7"/>
        <v>14.301542572289428</v>
      </c>
      <c r="L74">
        <f t="shared" si="8"/>
        <v>18.785888036497418</v>
      </c>
      <c r="M74">
        <f t="shared" si="9"/>
        <v>1.1158357136824304E-2</v>
      </c>
      <c r="N74">
        <f t="shared" si="10"/>
        <v>0.98884164286317566</v>
      </c>
      <c r="O74">
        <f t="shared" si="11"/>
        <v>0.98884164286317566</v>
      </c>
      <c r="P74">
        <f t="shared" si="12"/>
        <v>-1.1221078619411433E-2</v>
      </c>
    </row>
    <row r="75" spans="1:16" x14ac:dyDescent="0.3">
      <c r="A75" s="2">
        <f t="shared" si="13"/>
        <v>71</v>
      </c>
      <c r="B75" s="2">
        <v>20</v>
      </c>
      <c r="C75" s="2">
        <v>0.6</v>
      </c>
      <c r="D75" s="2">
        <v>25</v>
      </c>
      <c r="E75" s="2">
        <v>1</v>
      </c>
      <c r="F75" s="2">
        <v>90</v>
      </c>
      <c r="G75" s="2">
        <v>1</v>
      </c>
      <c r="H75" s="2">
        <v>40</v>
      </c>
      <c r="I75" s="2">
        <v>1</v>
      </c>
      <c r="J75" s="2">
        <v>0</v>
      </c>
      <c r="K75">
        <f t="shared" si="7"/>
        <v>74.947590427278556</v>
      </c>
      <c r="L75">
        <f t="shared" si="8"/>
        <v>41.33395102409817</v>
      </c>
      <c r="M75">
        <f t="shared" si="9"/>
        <v>0.99999999999999756</v>
      </c>
      <c r="N75">
        <f t="shared" si="10"/>
        <v>2.5222137591194113E-15</v>
      </c>
      <c r="O75">
        <f t="shared" si="11"/>
        <v>0.99999999999999756</v>
      </c>
      <c r="P75">
        <f t="shared" si="12"/>
        <v>-2.4424906541753475E-15</v>
      </c>
    </row>
    <row r="76" spans="1:16" x14ac:dyDescent="0.3">
      <c r="A76" s="2">
        <f t="shared" si="13"/>
        <v>72</v>
      </c>
      <c r="B76" s="2">
        <v>20</v>
      </c>
      <c r="C76" s="2">
        <v>0.4</v>
      </c>
      <c r="D76" s="2">
        <v>25</v>
      </c>
      <c r="E76" s="2">
        <v>1</v>
      </c>
      <c r="F76" s="2">
        <v>60</v>
      </c>
      <c r="G76" s="2">
        <v>1</v>
      </c>
      <c r="H76" s="2">
        <v>20</v>
      </c>
      <c r="I76" s="2">
        <v>0</v>
      </c>
      <c r="J76" s="2">
        <v>1</v>
      </c>
      <c r="K76">
        <f t="shared" si="7"/>
        <v>32.302636481616688</v>
      </c>
      <c r="L76">
        <f t="shared" si="8"/>
        <v>44.883503374470401</v>
      </c>
      <c r="M76">
        <f t="shared" si="9"/>
        <v>3.4371417107587158E-6</v>
      </c>
      <c r="N76">
        <f t="shared" si="10"/>
        <v>0.9999965628582892</v>
      </c>
      <c r="O76">
        <f t="shared" si="11"/>
        <v>0.9999965628582892</v>
      </c>
      <c r="P76">
        <f t="shared" si="12"/>
        <v>-3.4371476177898865E-6</v>
      </c>
    </row>
    <row r="77" spans="1:16" x14ac:dyDescent="0.3">
      <c r="A77" s="2">
        <f t="shared" si="13"/>
        <v>73</v>
      </c>
      <c r="B77" s="2">
        <v>20</v>
      </c>
      <c r="C77" s="2">
        <v>0.6</v>
      </c>
      <c r="D77" s="2">
        <v>15</v>
      </c>
      <c r="E77" s="2">
        <v>1</v>
      </c>
      <c r="F77" s="2">
        <v>45</v>
      </c>
      <c r="G77" s="2">
        <v>0.8</v>
      </c>
      <c r="H77" s="2">
        <v>20</v>
      </c>
      <c r="I77" s="2">
        <v>1</v>
      </c>
      <c r="J77" s="2">
        <v>0</v>
      </c>
      <c r="K77">
        <f t="shared" si="7"/>
        <v>33.227524315876146</v>
      </c>
      <c r="L77">
        <f t="shared" si="8"/>
        <v>23.651284866254684</v>
      </c>
      <c r="M77">
        <f t="shared" si="9"/>
        <v>0.99993064753063088</v>
      </c>
      <c r="N77">
        <f t="shared" si="10"/>
        <v>6.9352469369135501E-5</v>
      </c>
      <c r="O77">
        <f t="shared" si="11"/>
        <v>0.99993064753063088</v>
      </c>
      <c r="P77">
        <f t="shared" si="12"/>
        <v>-6.935487436282093E-5</v>
      </c>
    </row>
    <row r="78" spans="1:16" x14ac:dyDescent="0.3">
      <c r="A78" s="2">
        <f t="shared" si="13"/>
        <v>74</v>
      </c>
      <c r="B78" s="2">
        <v>20</v>
      </c>
      <c r="C78" s="2">
        <v>0.4</v>
      </c>
      <c r="D78" s="2">
        <v>25</v>
      </c>
      <c r="E78" s="2">
        <v>1</v>
      </c>
      <c r="F78" s="2">
        <v>60</v>
      </c>
      <c r="G78" s="2">
        <v>1</v>
      </c>
      <c r="H78" s="2">
        <v>40</v>
      </c>
      <c r="I78" s="2">
        <v>1</v>
      </c>
      <c r="J78" s="2">
        <v>0</v>
      </c>
      <c r="K78">
        <f t="shared" si="7"/>
        <v>71.135671565446629</v>
      </c>
      <c r="L78">
        <f t="shared" si="8"/>
        <v>44.883503374470401</v>
      </c>
      <c r="M78">
        <f t="shared" si="9"/>
        <v>0.99999999999602962</v>
      </c>
      <c r="N78">
        <f t="shared" si="10"/>
        <v>3.9703447310558512E-12</v>
      </c>
      <c r="O78">
        <f t="shared" si="11"/>
        <v>0.99999999999602962</v>
      </c>
      <c r="P78">
        <f t="shared" si="12"/>
        <v>-3.9703795806723665E-12</v>
      </c>
    </row>
    <row r="79" spans="1:16" x14ac:dyDescent="0.3">
      <c r="A79" s="2">
        <f t="shared" si="13"/>
        <v>75</v>
      </c>
      <c r="B79" s="2">
        <v>15</v>
      </c>
      <c r="C79" s="2">
        <v>0.6</v>
      </c>
      <c r="D79" s="2">
        <v>15</v>
      </c>
      <c r="E79" s="2">
        <v>1</v>
      </c>
      <c r="F79" s="2">
        <v>45</v>
      </c>
      <c r="G79" s="2">
        <v>0.8</v>
      </c>
      <c r="H79" s="2">
        <v>40</v>
      </c>
      <c r="I79" s="2">
        <v>1</v>
      </c>
      <c r="J79" s="2">
        <v>0</v>
      </c>
      <c r="K79">
        <f t="shared" si="7"/>
        <v>72.060559399706079</v>
      </c>
      <c r="L79">
        <f t="shared" si="8"/>
        <v>22.335440386869656</v>
      </c>
      <c r="M79">
        <f t="shared" si="9"/>
        <v>1</v>
      </c>
      <c r="N79">
        <f t="shared" si="10"/>
        <v>2.5389561526358101E-22</v>
      </c>
      <c r="O79">
        <f t="shared" si="11"/>
        <v>1</v>
      </c>
      <c r="P79">
        <f t="shared" si="12"/>
        <v>0</v>
      </c>
    </row>
    <row r="80" spans="1:16" x14ac:dyDescent="0.3">
      <c r="A80" s="2">
        <f t="shared" si="13"/>
        <v>76</v>
      </c>
      <c r="B80" s="2">
        <v>25</v>
      </c>
      <c r="C80" s="2">
        <v>0.8</v>
      </c>
      <c r="D80" s="2">
        <v>20</v>
      </c>
      <c r="E80" s="2">
        <v>1</v>
      </c>
      <c r="F80" s="2">
        <v>60</v>
      </c>
      <c r="G80" s="2">
        <v>0.8</v>
      </c>
      <c r="H80" s="2">
        <v>10</v>
      </c>
      <c r="I80" s="2">
        <v>0</v>
      </c>
      <c r="J80" s="2">
        <v>1</v>
      </c>
      <c r="K80">
        <f t="shared" si="7"/>
        <v>15.716966204877139</v>
      </c>
      <c r="L80">
        <f t="shared" si="8"/>
        <v>30.258910074189213</v>
      </c>
      <c r="M80">
        <f t="shared" si="9"/>
        <v>4.8363064441204204E-7</v>
      </c>
      <c r="N80">
        <f t="shared" si="10"/>
        <v>0.99999951636935558</v>
      </c>
      <c r="O80">
        <f t="shared" si="11"/>
        <v>0.99999951636935558</v>
      </c>
      <c r="P80">
        <f t="shared" si="12"/>
        <v>-4.8363076137047803E-7</v>
      </c>
    </row>
    <row r="81" spans="1:16" x14ac:dyDescent="0.3">
      <c r="A81" s="2">
        <f t="shared" si="13"/>
        <v>77</v>
      </c>
      <c r="B81" s="2">
        <v>25</v>
      </c>
      <c r="C81" s="2">
        <v>0.4</v>
      </c>
      <c r="D81" s="2">
        <v>20</v>
      </c>
      <c r="E81" s="2">
        <v>1</v>
      </c>
      <c r="F81" s="2">
        <v>90</v>
      </c>
      <c r="G81" s="2">
        <v>1</v>
      </c>
      <c r="H81" s="2">
        <v>20</v>
      </c>
      <c r="I81" s="2">
        <v>1</v>
      </c>
      <c r="J81" s="2">
        <v>0</v>
      </c>
      <c r="K81">
        <f t="shared" si="7"/>
        <v>36.114555343448615</v>
      </c>
      <c r="L81">
        <f t="shared" si="8"/>
        <v>37.358014774933686</v>
      </c>
      <c r="M81">
        <f t="shared" si="9"/>
        <v>0.22383439570163238</v>
      </c>
      <c r="N81">
        <f t="shared" si="10"/>
        <v>0.77616560429836767</v>
      </c>
      <c r="O81">
        <f t="shared" si="11"/>
        <v>0.22383439570163238</v>
      </c>
      <c r="P81">
        <f t="shared" si="12"/>
        <v>-1.4968488054511633</v>
      </c>
    </row>
    <row r="82" spans="1:16" x14ac:dyDescent="0.3">
      <c r="A82" s="2">
        <f t="shared" si="13"/>
        <v>78</v>
      </c>
      <c r="B82" s="2">
        <v>15</v>
      </c>
      <c r="C82" s="2">
        <v>0.6</v>
      </c>
      <c r="D82" s="2">
        <v>25</v>
      </c>
      <c r="E82" s="2">
        <v>1</v>
      </c>
      <c r="F82" s="2">
        <v>60</v>
      </c>
      <c r="G82" s="2">
        <v>0.8</v>
      </c>
      <c r="H82" s="2">
        <v>40</v>
      </c>
      <c r="I82" s="2">
        <v>1</v>
      </c>
      <c r="J82" s="2">
        <v>0</v>
      </c>
      <c r="K82">
        <f t="shared" si="7"/>
        <v>73.96651883062205</v>
      </c>
      <c r="L82">
        <f t="shared" si="8"/>
        <v>40.018106544713142</v>
      </c>
      <c r="M82">
        <f t="shared" si="9"/>
        <v>0.99999999999999822</v>
      </c>
      <c r="N82">
        <f t="shared" si="10"/>
        <v>1.8046453834157278E-15</v>
      </c>
      <c r="O82">
        <f t="shared" si="11"/>
        <v>0.99999999999999822</v>
      </c>
      <c r="P82">
        <f t="shared" si="12"/>
        <v>-1.776356839400252E-15</v>
      </c>
    </row>
    <row r="83" spans="1:16" x14ac:dyDescent="0.3">
      <c r="A83" s="2">
        <f t="shared" si="13"/>
        <v>79</v>
      </c>
      <c r="B83" s="2">
        <v>25</v>
      </c>
      <c r="C83" s="2">
        <v>0.8</v>
      </c>
      <c r="D83" s="2">
        <v>15</v>
      </c>
      <c r="E83" s="2">
        <v>1</v>
      </c>
      <c r="F83" s="2">
        <v>60</v>
      </c>
      <c r="G83" s="2">
        <v>1</v>
      </c>
      <c r="H83" s="2">
        <v>40</v>
      </c>
      <c r="I83" s="2">
        <v>1</v>
      </c>
      <c r="J83" s="2">
        <v>0</v>
      </c>
      <c r="K83">
        <f t="shared" si="7"/>
        <v>71.135671565446629</v>
      </c>
      <c r="L83">
        <f t="shared" si="8"/>
        <v>21.417576995267474</v>
      </c>
      <c r="M83">
        <f t="shared" si="9"/>
        <v>1</v>
      </c>
      <c r="N83">
        <f t="shared" si="10"/>
        <v>2.5568536910626927E-22</v>
      </c>
      <c r="O83">
        <f t="shared" si="11"/>
        <v>1</v>
      </c>
      <c r="P83">
        <f t="shared" si="12"/>
        <v>0</v>
      </c>
    </row>
    <row r="84" spans="1:16" x14ac:dyDescent="0.3">
      <c r="A84" s="2">
        <f t="shared" si="13"/>
        <v>80</v>
      </c>
      <c r="B84" s="2">
        <v>15</v>
      </c>
      <c r="C84" s="2">
        <v>0.8</v>
      </c>
      <c r="D84" s="2">
        <v>20</v>
      </c>
      <c r="E84" s="2">
        <v>1</v>
      </c>
      <c r="F84" s="2">
        <v>90</v>
      </c>
      <c r="G84" s="2">
        <v>1</v>
      </c>
      <c r="H84" s="2">
        <v>10</v>
      </c>
      <c r="I84" s="2">
        <v>0</v>
      </c>
      <c r="J84" s="2">
        <v>1</v>
      </c>
      <c r="K84">
        <f t="shared" si="7"/>
        <v>16.698037801533648</v>
      </c>
      <c r="L84">
        <f t="shared" si="8"/>
        <v>27.627221115419157</v>
      </c>
      <c r="M84">
        <f t="shared" si="9"/>
        <v>1.7927024391868906E-5</v>
      </c>
      <c r="N84">
        <f t="shared" si="10"/>
        <v>0.99998207297560815</v>
      </c>
      <c r="O84">
        <f t="shared" si="11"/>
        <v>0.99998207297560815</v>
      </c>
      <c r="P84">
        <f t="shared" si="12"/>
        <v>-1.7927185082872815E-5</v>
      </c>
    </row>
    <row r="85" spans="1:16" x14ac:dyDescent="0.3">
      <c r="A85" s="2">
        <f t="shared" si="13"/>
        <v>81</v>
      </c>
      <c r="B85" s="2">
        <v>15</v>
      </c>
      <c r="C85" s="2">
        <v>0.8</v>
      </c>
      <c r="D85" s="2">
        <v>15</v>
      </c>
      <c r="E85" s="2">
        <v>1</v>
      </c>
      <c r="F85" s="2">
        <v>90</v>
      </c>
      <c r="G85" s="2">
        <v>0.9</v>
      </c>
      <c r="H85" s="2">
        <v>10</v>
      </c>
      <c r="I85" s="2">
        <v>0</v>
      </c>
      <c r="J85" s="2">
        <v>1</v>
      </c>
      <c r="K85">
        <f t="shared" si="7"/>
        <v>18.113461434121358</v>
      </c>
      <c r="L85">
        <f t="shared" si="8"/>
        <v>18.785888036497418</v>
      </c>
      <c r="M85">
        <f t="shared" si="9"/>
        <v>0.33795369705573769</v>
      </c>
      <c r="N85">
        <f t="shared" si="10"/>
        <v>0.66204630294426225</v>
      </c>
      <c r="O85">
        <f t="shared" si="11"/>
        <v>0.66204630294426225</v>
      </c>
      <c r="P85">
        <f t="shared" si="12"/>
        <v>-0.41241978146653274</v>
      </c>
    </row>
    <row r="86" spans="1:16" x14ac:dyDescent="0.3">
      <c r="A86" s="2">
        <f t="shared" si="13"/>
        <v>82</v>
      </c>
      <c r="B86" s="2">
        <v>15</v>
      </c>
      <c r="C86" s="2">
        <v>0.8</v>
      </c>
      <c r="D86" s="2">
        <v>20</v>
      </c>
      <c r="E86" s="2">
        <v>1</v>
      </c>
      <c r="F86" s="2">
        <v>45</v>
      </c>
      <c r="G86" s="2">
        <v>1</v>
      </c>
      <c r="H86" s="2">
        <v>40</v>
      </c>
      <c r="I86" s="2">
        <v>1</v>
      </c>
      <c r="J86" s="2">
        <v>0</v>
      </c>
      <c r="K86">
        <f t="shared" si="7"/>
        <v>69.229712134530658</v>
      </c>
      <c r="L86">
        <f t="shared" si="8"/>
        <v>27.627221115419157</v>
      </c>
      <c r="M86">
        <f t="shared" si="9"/>
        <v>1</v>
      </c>
      <c r="N86">
        <f t="shared" si="10"/>
        <v>8.5559397364985929E-19</v>
      </c>
      <c r="O86">
        <f t="shared" si="11"/>
        <v>1</v>
      </c>
      <c r="P86">
        <f t="shared" si="12"/>
        <v>0</v>
      </c>
    </row>
    <row r="87" spans="1:16" x14ac:dyDescent="0.3">
      <c r="A87" s="2">
        <f t="shared" si="13"/>
        <v>83</v>
      </c>
      <c r="B87" s="2">
        <v>20</v>
      </c>
      <c r="C87" s="2">
        <v>0.8</v>
      </c>
      <c r="D87" s="2">
        <v>20</v>
      </c>
      <c r="E87" s="2">
        <v>1</v>
      </c>
      <c r="F87" s="2">
        <v>45</v>
      </c>
      <c r="G87" s="2">
        <v>1</v>
      </c>
      <c r="H87" s="2">
        <v>20</v>
      </c>
      <c r="I87" s="2">
        <v>1</v>
      </c>
      <c r="J87" s="2">
        <v>0</v>
      </c>
      <c r="K87">
        <f t="shared" si="7"/>
        <v>30.396677050700724</v>
      </c>
      <c r="L87">
        <f t="shared" si="8"/>
        <v>28.943065594804185</v>
      </c>
      <c r="M87">
        <f t="shared" si="9"/>
        <v>0.81055361839589835</v>
      </c>
      <c r="N87">
        <f t="shared" si="10"/>
        <v>0.18944638160410157</v>
      </c>
      <c r="O87">
        <f t="shared" si="11"/>
        <v>0.81055361839589835</v>
      </c>
      <c r="P87">
        <f t="shared" si="12"/>
        <v>-0.21003778528028444</v>
      </c>
    </row>
    <row r="88" spans="1:16" x14ac:dyDescent="0.3">
      <c r="A88" s="2">
        <f t="shared" si="13"/>
        <v>84</v>
      </c>
      <c r="B88" s="2">
        <v>15</v>
      </c>
      <c r="C88" s="2">
        <v>0.8</v>
      </c>
      <c r="D88" s="2">
        <v>15</v>
      </c>
      <c r="E88" s="2">
        <v>1</v>
      </c>
      <c r="F88" s="2">
        <v>45</v>
      </c>
      <c r="G88" s="2">
        <v>1</v>
      </c>
      <c r="H88" s="2">
        <v>20</v>
      </c>
      <c r="I88" s="2">
        <v>1</v>
      </c>
      <c r="J88" s="2">
        <v>0</v>
      </c>
      <c r="K88">
        <f t="shared" si="7"/>
        <v>30.396677050700724</v>
      </c>
      <c r="L88">
        <f t="shared" si="8"/>
        <v>18.785888036497418</v>
      </c>
      <c r="M88">
        <f t="shared" si="9"/>
        <v>0.99999093235597158</v>
      </c>
      <c r="N88">
        <f t="shared" si="10"/>
        <v>9.0676440284153497E-6</v>
      </c>
      <c r="O88">
        <f t="shared" si="11"/>
        <v>0.99999093235597158</v>
      </c>
      <c r="P88">
        <f t="shared" si="12"/>
        <v>-9.067685139748058E-6</v>
      </c>
    </row>
    <row r="89" spans="1:16" x14ac:dyDescent="0.3">
      <c r="A89" s="2">
        <f t="shared" si="13"/>
        <v>85</v>
      </c>
      <c r="B89" s="2">
        <v>25</v>
      </c>
      <c r="C89" s="2">
        <v>0.8</v>
      </c>
      <c r="D89" s="2">
        <v>15</v>
      </c>
      <c r="E89" s="2">
        <v>1</v>
      </c>
      <c r="F89" s="2">
        <v>45</v>
      </c>
      <c r="G89" s="2">
        <v>1</v>
      </c>
      <c r="H89" s="2">
        <v>10</v>
      </c>
      <c r="I89" s="2">
        <v>0</v>
      </c>
      <c r="J89" s="2">
        <v>1</v>
      </c>
      <c r="K89">
        <f t="shared" si="7"/>
        <v>10.980159508785752</v>
      </c>
      <c r="L89">
        <f t="shared" si="8"/>
        <v>21.417576995267474</v>
      </c>
      <c r="M89">
        <f t="shared" si="9"/>
        <v>2.931395718665853E-5</v>
      </c>
      <c r="N89">
        <f t="shared" si="10"/>
        <v>0.99997068604281336</v>
      </c>
      <c r="O89">
        <f t="shared" si="11"/>
        <v>0.99997068604281336</v>
      </c>
      <c r="P89">
        <f t="shared" si="12"/>
        <v>-2.9314386849078268E-5</v>
      </c>
    </row>
    <row r="90" spans="1:16" x14ac:dyDescent="0.3">
      <c r="A90" s="2">
        <f t="shared" si="13"/>
        <v>86</v>
      </c>
      <c r="B90" s="2">
        <v>20</v>
      </c>
      <c r="C90" s="2">
        <v>0.6</v>
      </c>
      <c r="D90" s="2">
        <v>20</v>
      </c>
      <c r="E90" s="2">
        <v>1</v>
      </c>
      <c r="F90" s="2">
        <v>90</v>
      </c>
      <c r="G90" s="2">
        <v>1</v>
      </c>
      <c r="H90" s="2">
        <v>20</v>
      </c>
      <c r="I90" s="2">
        <v>1</v>
      </c>
      <c r="J90" s="2">
        <v>0</v>
      </c>
      <c r="K90">
        <f t="shared" si="7"/>
        <v>36.114555343448615</v>
      </c>
      <c r="L90">
        <f t="shared" si="8"/>
        <v>32.49261794517642</v>
      </c>
      <c r="M90">
        <f t="shared" si="9"/>
        <v>0.97396509676742793</v>
      </c>
      <c r="N90">
        <f t="shared" si="10"/>
        <v>2.6034903232572019E-2</v>
      </c>
      <c r="O90">
        <f t="shared" si="11"/>
        <v>0.97396509676742793</v>
      </c>
      <c r="P90">
        <f t="shared" si="12"/>
        <v>-2.6379810922727877E-2</v>
      </c>
    </row>
    <row r="91" spans="1:16" x14ac:dyDescent="0.3">
      <c r="A91" s="2">
        <f t="shared" si="13"/>
        <v>87</v>
      </c>
      <c r="B91" s="2">
        <v>25</v>
      </c>
      <c r="C91" s="2">
        <v>0.4</v>
      </c>
      <c r="D91" s="2">
        <v>15</v>
      </c>
      <c r="E91" s="2">
        <v>1</v>
      </c>
      <c r="F91" s="2">
        <v>45</v>
      </c>
      <c r="G91" s="2">
        <v>0.9</v>
      </c>
      <c r="H91" s="2">
        <v>40</v>
      </c>
      <c r="I91" s="2">
        <v>1</v>
      </c>
      <c r="J91" s="2">
        <v>0</v>
      </c>
      <c r="K91">
        <f t="shared" si="7"/>
        <v>70.645135767118376</v>
      </c>
      <c r="L91">
        <f t="shared" si="8"/>
        <v>28.51668169601195</v>
      </c>
      <c r="M91">
        <f t="shared" si="9"/>
        <v>1</v>
      </c>
      <c r="N91">
        <f t="shared" si="10"/>
        <v>5.0564400880119605E-19</v>
      </c>
      <c r="O91">
        <f t="shared" si="11"/>
        <v>1</v>
      </c>
      <c r="P91">
        <f t="shared" si="12"/>
        <v>0</v>
      </c>
    </row>
    <row r="92" spans="1:16" x14ac:dyDescent="0.3">
      <c r="A92" s="2">
        <f t="shared" si="13"/>
        <v>88</v>
      </c>
      <c r="B92" s="2">
        <v>20</v>
      </c>
      <c r="C92" s="2">
        <v>0.8</v>
      </c>
      <c r="D92" s="2">
        <v>25</v>
      </c>
      <c r="E92" s="2">
        <v>1</v>
      </c>
      <c r="F92" s="2">
        <v>60</v>
      </c>
      <c r="G92" s="2">
        <v>1</v>
      </c>
      <c r="H92" s="2">
        <v>20</v>
      </c>
      <c r="I92" s="2">
        <v>0</v>
      </c>
      <c r="J92" s="2">
        <v>1</v>
      </c>
      <c r="K92">
        <f t="shared" si="7"/>
        <v>32.302636481616688</v>
      </c>
      <c r="L92">
        <f t="shared" si="8"/>
        <v>37.784398673725924</v>
      </c>
      <c r="M92">
        <f t="shared" si="9"/>
        <v>4.1447386510566359E-3</v>
      </c>
      <c r="N92">
        <f t="shared" si="10"/>
        <v>0.99585526134894331</v>
      </c>
      <c r="O92">
        <f t="shared" si="11"/>
        <v>0.99585526134894331</v>
      </c>
      <c r="P92">
        <f t="shared" si="12"/>
        <v>-4.1533518882828297E-3</v>
      </c>
    </row>
    <row r="93" spans="1:16" x14ac:dyDescent="0.3">
      <c r="A93" s="2">
        <f t="shared" si="13"/>
        <v>89</v>
      </c>
      <c r="B93" s="2">
        <v>25</v>
      </c>
      <c r="C93" s="2">
        <v>0.4</v>
      </c>
      <c r="D93" s="2">
        <v>25</v>
      </c>
      <c r="E93" s="2">
        <v>1</v>
      </c>
      <c r="F93" s="2">
        <v>60</v>
      </c>
      <c r="G93" s="2">
        <v>0.9</v>
      </c>
      <c r="H93" s="2">
        <v>40</v>
      </c>
      <c r="I93" s="2">
        <v>1</v>
      </c>
      <c r="J93" s="2">
        <v>0</v>
      </c>
      <c r="K93">
        <f t="shared" si="7"/>
        <v>72.551095198034346</v>
      </c>
      <c r="L93">
        <f t="shared" si="8"/>
        <v>46.199347853855429</v>
      </c>
      <c r="M93">
        <f t="shared" si="9"/>
        <v>0.99999999999640599</v>
      </c>
      <c r="N93">
        <f t="shared" si="10"/>
        <v>3.5940286923990319E-12</v>
      </c>
      <c r="O93">
        <f t="shared" si="11"/>
        <v>0.99999999999640599</v>
      </c>
      <c r="P93">
        <f t="shared" si="12"/>
        <v>-3.5940139753230151E-12</v>
      </c>
    </row>
    <row r="94" spans="1:16" x14ac:dyDescent="0.3">
      <c r="A94" s="2">
        <f t="shared" si="13"/>
        <v>90</v>
      </c>
      <c r="B94" s="2">
        <v>25</v>
      </c>
      <c r="C94" s="2">
        <v>0.6</v>
      </c>
      <c r="D94" s="2">
        <v>15</v>
      </c>
      <c r="E94" s="2">
        <v>1</v>
      </c>
      <c r="F94" s="2">
        <v>45</v>
      </c>
      <c r="G94" s="2">
        <v>0.8</v>
      </c>
      <c r="H94" s="2">
        <v>10</v>
      </c>
      <c r="I94" s="2">
        <v>0</v>
      </c>
      <c r="J94" s="2">
        <v>1</v>
      </c>
      <c r="K94">
        <f t="shared" si="7"/>
        <v>13.811006773961173</v>
      </c>
      <c r="L94">
        <f t="shared" si="8"/>
        <v>24.967129345639712</v>
      </c>
      <c r="M94">
        <f t="shared" si="9"/>
        <v>1.4287338119607603E-5</v>
      </c>
      <c r="N94">
        <f t="shared" si="10"/>
        <v>0.99998571266188041</v>
      </c>
      <c r="O94">
        <f t="shared" si="11"/>
        <v>0.99998571266188041</v>
      </c>
      <c r="P94">
        <f t="shared" si="12"/>
        <v>-1.428744018457703E-5</v>
      </c>
    </row>
    <row r="95" spans="1:16" x14ac:dyDescent="0.3">
      <c r="A95" s="2">
        <f t="shared" si="13"/>
        <v>91</v>
      </c>
      <c r="B95" s="2">
        <v>20</v>
      </c>
      <c r="C95" s="2">
        <v>0.4</v>
      </c>
      <c r="D95" s="2">
        <v>25</v>
      </c>
      <c r="E95" s="2">
        <v>1</v>
      </c>
      <c r="F95" s="2">
        <v>90</v>
      </c>
      <c r="G95" s="2">
        <v>0.8</v>
      </c>
      <c r="H95" s="2">
        <v>40</v>
      </c>
      <c r="I95" s="2">
        <v>1</v>
      </c>
      <c r="J95" s="2">
        <v>0</v>
      </c>
      <c r="K95">
        <f t="shared" si="7"/>
        <v>77.778437692453977</v>
      </c>
      <c r="L95">
        <f t="shared" si="8"/>
        <v>44.883503374470401</v>
      </c>
      <c r="M95">
        <f t="shared" si="9"/>
        <v>0.99999999999999478</v>
      </c>
      <c r="N95">
        <f t="shared" si="10"/>
        <v>5.1750141680084904E-15</v>
      </c>
      <c r="O95">
        <f t="shared" si="11"/>
        <v>0.99999999999999478</v>
      </c>
      <c r="P95">
        <f t="shared" si="12"/>
        <v>-5.2180482157382492E-15</v>
      </c>
    </row>
    <row r="96" spans="1:16" x14ac:dyDescent="0.3">
      <c r="A96" s="2">
        <f t="shared" si="13"/>
        <v>92</v>
      </c>
      <c r="B96" s="2">
        <v>25</v>
      </c>
      <c r="C96" s="2">
        <v>0.6</v>
      </c>
      <c r="D96" s="2">
        <v>20</v>
      </c>
      <c r="E96" s="2">
        <v>1</v>
      </c>
      <c r="F96" s="2">
        <v>90</v>
      </c>
      <c r="G96" s="2">
        <v>0.8</v>
      </c>
      <c r="H96" s="2">
        <v>10</v>
      </c>
      <c r="I96" s="2">
        <v>0</v>
      </c>
      <c r="J96" s="2">
        <v>1</v>
      </c>
      <c r="K96">
        <f t="shared" si="7"/>
        <v>19.528885066709069</v>
      </c>
      <c r="L96">
        <f t="shared" si="8"/>
        <v>33.808462424561448</v>
      </c>
      <c r="M96">
        <f t="shared" si="9"/>
        <v>6.2872115924428229E-7</v>
      </c>
      <c r="N96">
        <f t="shared" si="10"/>
        <v>0.99999937127884087</v>
      </c>
      <c r="O96">
        <f t="shared" si="11"/>
        <v>0.99999937127884087</v>
      </c>
      <c r="P96">
        <f t="shared" si="12"/>
        <v>-6.2872135678015703E-7</v>
      </c>
    </row>
    <row r="97" spans="1:16" x14ac:dyDescent="0.3">
      <c r="A97" s="2">
        <f t="shared" si="13"/>
        <v>93</v>
      </c>
      <c r="B97" s="2">
        <v>20</v>
      </c>
      <c r="C97" s="2">
        <v>0.4</v>
      </c>
      <c r="D97" s="2">
        <v>25</v>
      </c>
      <c r="E97" s="2">
        <v>1</v>
      </c>
      <c r="F97" s="2">
        <v>60</v>
      </c>
      <c r="G97" s="2">
        <v>0.9</v>
      </c>
      <c r="H97" s="2">
        <v>20</v>
      </c>
      <c r="I97" s="2">
        <v>0</v>
      </c>
      <c r="J97" s="2">
        <v>1</v>
      </c>
      <c r="K97">
        <f t="shared" si="7"/>
        <v>33.718060114204398</v>
      </c>
      <c r="L97">
        <f t="shared" si="8"/>
        <v>44.883503374470401</v>
      </c>
      <c r="M97">
        <f t="shared" si="9"/>
        <v>1.415479085071019E-5</v>
      </c>
      <c r="N97">
        <f t="shared" si="10"/>
        <v>0.99998584520914924</v>
      </c>
      <c r="O97">
        <f t="shared" si="11"/>
        <v>0.99998584520914924</v>
      </c>
      <c r="P97">
        <f t="shared" si="12"/>
        <v>-1.4154891030759577E-5</v>
      </c>
    </row>
    <row r="98" spans="1:16" x14ac:dyDescent="0.3">
      <c r="A98" s="2">
        <f t="shared" si="13"/>
        <v>94</v>
      </c>
      <c r="B98" s="2">
        <v>25</v>
      </c>
      <c r="C98" s="2">
        <v>0.4</v>
      </c>
      <c r="D98" s="2">
        <v>25</v>
      </c>
      <c r="E98" s="2">
        <v>1</v>
      </c>
      <c r="F98" s="2">
        <v>60</v>
      </c>
      <c r="G98" s="2">
        <v>0.8</v>
      </c>
      <c r="H98" s="2">
        <v>40</v>
      </c>
      <c r="I98" s="2">
        <v>1</v>
      </c>
      <c r="J98" s="2">
        <v>0</v>
      </c>
      <c r="K98">
        <f t="shared" si="7"/>
        <v>73.96651883062205</v>
      </c>
      <c r="L98">
        <f t="shared" si="8"/>
        <v>46.199347853855429</v>
      </c>
      <c r="M98">
        <f t="shared" si="9"/>
        <v>0.99999999999912736</v>
      </c>
      <c r="N98">
        <f t="shared" si="10"/>
        <v>8.727118373603254E-13</v>
      </c>
      <c r="O98">
        <f t="shared" si="11"/>
        <v>0.99999999999912736</v>
      </c>
      <c r="P98">
        <f t="shared" si="12"/>
        <v>-8.7263529735575381E-13</v>
      </c>
    </row>
    <row r="99" spans="1:16" x14ac:dyDescent="0.3">
      <c r="A99" s="2">
        <f t="shared" si="13"/>
        <v>95</v>
      </c>
      <c r="B99" s="2">
        <v>20</v>
      </c>
      <c r="C99" s="2">
        <v>0.4</v>
      </c>
      <c r="D99" s="2">
        <v>15</v>
      </c>
      <c r="E99" s="2">
        <v>1</v>
      </c>
      <c r="F99" s="2">
        <v>90</v>
      </c>
      <c r="G99" s="2">
        <v>0.9</v>
      </c>
      <c r="H99" s="2">
        <v>10</v>
      </c>
      <c r="I99" s="2">
        <v>0</v>
      </c>
      <c r="J99" s="2">
        <v>1</v>
      </c>
      <c r="K99">
        <f t="shared" si="7"/>
        <v>18.113461434121358</v>
      </c>
      <c r="L99">
        <f t="shared" si="8"/>
        <v>27.200837216626923</v>
      </c>
      <c r="M99">
        <f t="shared" si="9"/>
        <v>1.1307165099998089E-4</v>
      </c>
      <c r="N99">
        <f t="shared" si="10"/>
        <v>0.99988692834899995</v>
      </c>
      <c r="O99">
        <f t="shared" si="11"/>
        <v>0.99988692834899995</v>
      </c>
      <c r="P99">
        <f t="shared" si="12"/>
        <v>-1.1307804408110375E-4</v>
      </c>
    </row>
    <row r="100" spans="1:16" x14ac:dyDescent="0.3">
      <c r="A100" s="2">
        <f t="shared" si="13"/>
        <v>96</v>
      </c>
      <c r="B100" s="2">
        <v>15</v>
      </c>
      <c r="C100" s="2">
        <v>0.6</v>
      </c>
      <c r="D100" s="2">
        <v>20</v>
      </c>
      <c r="E100" s="2">
        <v>1</v>
      </c>
      <c r="F100" s="2">
        <v>45</v>
      </c>
      <c r="G100" s="2">
        <v>0.8</v>
      </c>
      <c r="H100" s="2">
        <v>40</v>
      </c>
      <c r="I100" s="2">
        <v>1</v>
      </c>
      <c r="J100" s="2">
        <v>0</v>
      </c>
      <c r="K100">
        <f t="shared" si="7"/>
        <v>72.060559399706079</v>
      </c>
      <c r="L100">
        <f t="shared" si="8"/>
        <v>31.176773465791396</v>
      </c>
      <c r="M100">
        <f t="shared" si="9"/>
        <v>1</v>
      </c>
      <c r="N100">
        <f t="shared" si="10"/>
        <v>1.7554859970499132E-18</v>
      </c>
      <c r="O100">
        <f t="shared" si="11"/>
        <v>1</v>
      </c>
      <c r="P100">
        <f t="shared" si="12"/>
        <v>0</v>
      </c>
    </row>
    <row r="101" spans="1:16" x14ac:dyDescent="0.3">
      <c r="A101" s="2">
        <f t="shared" si="13"/>
        <v>97</v>
      </c>
      <c r="B101" s="2">
        <v>20</v>
      </c>
      <c r="C101" s="2">
        <v>0.4</v>
      </c>
      <c r="D101" s="2">
        <v>25</v>
      </c>
      <c r="E101" s="2">
        <v>1</v>
      </c>
      <c r="F101" s="2">
        <v>45</v>
      </c>
      <c r="G101" s="2">
        <v>1</v>
      </c>
      <c r="H101" s="2">
        <v>20</v>
      </c>
      <c r="I101" s="2">
        <v>0</v>
      </c>
      <c r="J101" s="2">
        <v>1</v>
      </c>
      <c r="K101">
        <f t="shared" si="7"/>
        <v>30.396677050700724</v>
      </c>
      <c r="L101">
        <f t="shared" si="8"/>
        <v>44.883503374470401</v>
      </c>
      <c r="M101">
        <f t="shared" si="9"/>
        <v>5.1103547073105792E-7</v>
      </c>
      <c r="N101">
        <f t="shared" si="10"/>
        <v>0.99999948896452928</v>
      </c>
      <c r="O101">
        <f t="shared" si="11"/>
        <v>0.99999948896452928</v>
      </c>
      <c r="P101">
        <f t="shared" si="12"/>
        <v>-5.1103560129696131E-7</v>
      </c>
    </row>
    <row r="102" spans="1:16" x14ac:dyDescent="0.3">
      <c r="A102" s="2">
        <f t="shared" si="13"/>
        <v>98</v>
      </c>
      <c r="B102" s="2">
        <v>20</v>
      </c>
      <c r="C102" s="2">
        <v>0.4</v>
      </c>
      <c r="D102" s="2">
        <v>25</v>
      </c>
      <c r="E102" s="2">
        <v>1</v>
      </c>
      <c r="F102" s="2">
        <v>60</v>
      </c>
      <c r="G102" s="2">
        <v>0.9</v>
      </c>
      <c r="H102" s="2">
        <v>10</v>
      </c>
      <c r="I102" s="2">
        <v>0</v>
      </c>
      <c r="J102" s="2">
        <v>1</v>
      </c>
      <c r="K102">
        <f t="shared" si="7"/>
        <v>14.301542572289428</v>
      </c>
      <c r="L102">
        <f t="shared" si="8"/>
        <v>44.883503374470401</v>
      </c>
      <c r="M102">
        <f t="shared" si="9"/>
        <v>5.2290546147305997E-14</v>
      </c>
      <c r="N102">
        <f t="shared" si="10"/>
        <v>0.99999999999994771</v>
      </c>
      <c r="O102">
        <f t="shared" si="11"/>
        <v>0.99999999999994771</v>
      </c>
      <c r="P102">
        <f t="shared" si="12"/>
        <v>-5.2291504459846243E-14</v>
      </c>
    </row>
    <row r="103" spans="1:16" x14ac:dyDescent="0.3">
      <c r="A103" s="2">
        <f t="shared" si="13"/>
        <v>99</v>
      </c>
      <c r="B103" s="2">
        <v>20</v>
      </c>
      <c r="C103" s="2">
        <v>0.8</v>
      </c>
      <c r="D103" s="2">
        <v>25</v>
      </c>
      <c r="E103" s="2">
        <v>1</v>
      </c>
      <c r="F103" s="2">
        <v>60</v>
      </c>
      <c r="G103" s="2">
        <v>0.8</v>
      </c>
      <c r="H103" s="2">
        <v>40</v>
      </c>
      <c r="I103" s="2">
        <v>1</v>
      </c>
      <c r="J103" s="2">
        <v>0</v>
      </c>
      <c r="K103">
        <f t="shared" si="7"/>
        <v>73.96651883062205</v>
      </c>
      <c r="L103">
        <f t="shared" si="8"/>
        <v>37.784398673725924</v>
      </c>
      <c r="M103">
        <f t="shared" si="9"/>
        <v>0.99999999999999989</v>
      </c>
      <c r="N103">
        <f t="shared" si="10"/>
        <v>1.9333250241249156E-16</v>
      </c>
      <c r="O103">
        <f t="shared" si="11"/>
        <v>0.99999999999999989</v>
      </c>
      <c r="P103">
        <f t="shared" si="12"/>
        <v>-1.1102230246251565E-16</v>
      </c>
    </row>
    <row r="104" spans="1:16" x14ac:dyDescent="0.3">
      <c r="A104" s="2">
        <f t="shared" si="13"/>
        <v>100</v>
      </c>
      <c r="B104" s="2">
        <v>25</v>
      </c>
      <c r="C104" s="2">
        <v>0.4</v>
      </c>
      <c r="D104" s="2">
        <v>20</v>
      </c>
      <c r="E104" s="2">
        <v>1</v>
      </c>
      <c r="F104" s="2">
        <v>60</v>
      </c>
      <c r="G104" s="2">
        <v>0.8</v>
      </c>
      <c r="H104" s="2">
        <v>20</v>
      </c>
      <c r="I104" s="2">
        <v>0</v>
      </c>
      <c r="J104" s="2">
        <v>1</v>
      </c>
      <c r="K104">
        <f t="shared" si="7"/>
        <v>35.133483746792109</v>
      </c>
      <c r="L104">
        <f t="shared" si="8"/>
        <v>37.358014774933686</v>
      </c>
      <c r="M104">
        <f t="shared" si="9"/>
        <v>9.7569121933690398E-2</v>
      </c>
      <c r="N104">
        <f t="shared" si="10"/>
        <v>0.90243087806630973</v>
      </c>
      <c r="O104">
        <f t="shared" si="11"/>
        <v>0.90243087806630973</v>
      </c>
      <c r="P104">
        <f t="shared" si="12"/>
        <v>-0.10266318110842977</v>
      </c>
    </row>
    <row r="105" spans="1:16" x14ac:dyDescent="0.3">
      <c r="A105" s="2">
        <f t="shared" si="13"/>
        <v>101</v>
      </c>
      <c r="B105" s="2">
        <v>15</v>
      </c>
      <c r="C105" s="2">
        <v>0.8</v>
      </c>
      <c r="D105" s="2">
        <v>25</v>
      </c>
      <c r="E105" s="2">
        <v>1</v>
      </c>
      <c r="F105" s="2">
        <v>45</v>
      </c>
      <c r="G105" s="2">
        <v>1</v>
      </c>
      <c r="H105" s="2">
        <v>10</v>
      </c>
      <c r="I105" s="2">
        <v>0</v>
      </c>
      <c r="J105" s="2">
        <v>1</v>
      </c>
      <c r="K105">
        <f t="shared" si="7"/>
        <v>10.980159508785752</v>
      </c>
      <c r="L105">
        <f t="shared" si="8"/>
        <v>36.468554194340904</v>
      </c>
      <c r="M105">
        <f t="shared" si="9"/>
        <v>8.521790150780879E-12</v>
      </c>
      <c r="N105">
        <f t="shared" si="10"/>
        <v>0.99999999999147815</v>
      </c>
      <c r="O105">
        <f t="shared" si="11"/>
        <v>0.99999999999147815</v>
      </c>
      <c r="P105">
        <f t="shared" si="12"/>
        <v>-8.5218498924540869E-12</v>
      </c>
    </row>
    <row r="106" spans="1:16" x14ac:dyDescent="0.3">
      <c r="A106" s="2">
        <f t="shared" si="13"/>
        <v>102</v>
      </c>
      <c r="B106" s="2">
        <v>20</v>
      </c>
      <c r="C106" s="2">
        <v>0.8</v>
      </c>
      <c r="D106" s="2">
        <v>25</v>
      </c>
      <c r="E106" s="2">
        <v>1</v>
      </c>
      <c r="F106" s="2">
        <v>45</v>
      </c>
      <c r="G106" s="2">
        <v>1</v>
      </c>
      <c r="H106" s="2">
        <v>10</v>
      </c>
      <c r="I106" s="2">
        <v>0</v>
      </c>
      <c r="J106" s="2">
        <v>1</v>
      </c>
      <c r="K106">
        <f t="shared" si="7"/>
        <v>10.980159508785752</v>
      </c>
      <c r="L106">
        <f t="shared" si="8"/>
        <v>37.784398673725924</v>
      </c>
      <c r="M106">
        <f t="shared" si="9"/>
        <v>2.2859505900463793E-12</v>
      </c>
      <c r="N106">
        <f t="shared" si="10"/>
        <v>0.99999999999771416</v>
      </c>
      <c r="O106">
        <f t="shared" si="11"/>
        <v>0.99999999999771416</v>
      </c>
      <c r="P106">
        <f t="shared" si="12"/>
        <v>-2.2858381854033472E-12</v>
      </c>
    </row>
    <row r="107" spans="1:16" x14ac:dyDescent="0.3">
      <c r="A107" s="2">
        <f t="shared" si="13"/>
        <v>103</v>
      </c>
      <c r="B107" s="2">
        <v>20</v>
      </c>
      <c r="C107" s="2">
        <v>0.4</v>
      </c>
      <c r="D107" s="2">
        <v>20</v>
      </c>
      <c r="E107" s="2">
        <v>1</v>
      </c>
      <c r="F107" s="2">
        <v>90</v>
      </c>
      <c r="G107" s="2">
        <v>0.9</v>
      </c>
      <c r="H107" s="2">
        <v>10</v>
      </c>
      <c r="I107" s="2">
        <v>0</v>
      </c>
      <c r="J107" s="2">
        <v>1</v>
      </c>
      <c r="K107">
        <f t="shared" si="7"/>
        <v>18.113461434121358</v>
      </c>
      <c r="L107">
        <f t="shared" si="8"/>
        <v>36.042170295548658</v>
      </c>
      <c r="M107">
        <f t="shared" si="9"/>
        <v>1.6355381046064499E-8</v>
      </c>
      <c r="N107">
        <f t="shared" si="10"/>
        <v>0.99999998364461895</v>
      </c>
      <c r="O107">
        <f t="shared" si="11"/>
        <v>0.99999998364461895</v>
      </c>
      <c r="P107">
        <f t="shared" si="12"/>
        <v>-1.6355381183242435E-8</v>
      </c>
    </row>
    <row r="108" spans="1:16" x14ac:dyDescent="0.3">
      <c r="A108" s="2">
        <f t="shared" si="13"/>
        <v>104</v>
      </c>
      <c r="B108" s="2">
        <v>20</v>
      </c>
      <c r="C108" s="2">
        <v>0.8</v>
      </c>
      <c r="D108" s="2">
        <v>25</v>
      </c>
      <c r="E108" s="2">
        <v>1</v>
      </c>
      <c r="F108" s="2">
        <v>90</v>
      </c>
      <c r="G108" s="2">
        <v>0.9</v>
      </c>
      <c r="H108" s="2">
        <v>40</v>
      </c>
      <c r="I108" s="2">
        <v>1</v>
      </c>
      <c r="J108" s="2">
        <v>0</v>
      </c>
      <c r="K108">
        <f t="shared" si="7"/>
        <v>76.363014059866273</v>
      </c>
      <c r="L108">
        <f t="shared" si="8"/>
        <v>37.784398673725924</v>
      </c>
      <c r="M108">
        <f t="shared" si="9"/>
        <v>1</v>
      </c>
      <c r="N108">
        <f t="shared" si="10"/>
        <v>1.7600305991127189E-17</v>
      </c>
      <c r="O108">
        <f t="shared" si="11"/>
        <v>1</v>
      </c>
      <c r="P108">
        <f t="shared" si="12"/>
        <v>0</v>
      </c>
    </row>
    <row r="109" spans="1:16" x14ac:dyDescent="0.3">
      <c r="A109" s="2">
        <f t="shared" si="13"/>
        <v>105</v>
      </c>
      <c r="B109" s="2">
        <v>20</v>
      </c>
      <c r="C109" s="2">
        <v>0.6</v>
      </c>
      <c r="D109" s="2">
        <v>20</v>
      </c>
      <c r="E109" s="2">
        <v>1</v>
      </c>
      <c r="F109" s="2">
        <v>45</v>
      </c>
      <c r="G109" s="2">
        <v>1</v>
      </c>
      <c r="H109" s="2">
        <v>20</v>
      </c>
      <c r="I109" s="2">
        <v>1</v>
      </c>
      <c r="J109" s="2">
        <v>0</v>
      </c>
      <c r="K109">
        <f t="shared" si="7"/>
        <v>30.396677050700724</v>
      </c>
      <c r="L109">
        <f t="shared" si="8"/>
        <v>32.49261794517642</v>
      </c>
      <c r="M109">
        <f t="shared" si="9"/>
        <v>0.10949197120759167</v>
      </c>
      <c r="N109">
        <f t="shared" si="10"/>
        <v>0.89050802879240831</v>
      </c>
      <c r="O109">
        <f t="shared" si="11"/>
        <v>0.10949197120759167</v>
      </c>
      <c r="P109">
        <f t="shared" si="12"/>
        <v>-2.2119040547188922</v>
      </c>
    </row>
    <row r="110" spans="1:16" x14ac:dyDescent="0.3">
      <c r="A110" s="2">
        <f t="shared" si="13"/>
        <v>106</v>
      </c>
      <c r="B110" s="2">
        <v>25</v>
      </c>
      <c r="C110" s="2">
        <v>0.6</v>
      </c>
      <c r="D110" s="2">
        <v>15</v>
      </c>
      <c r="E110" s="2">
        <v>1</v>
      </c>
      <c r="F110" s="2">
        <v>60</v>
      </c>
      <c r="G110" s="2">
        <v>1</v>
      </c>
      <c r="H110" s="2">
        <v>10</v>
      </c>
      <c r="I110" s="2">
        <v>0</v>
      </c>
      <c r="J110" s="2">
        <v>1</v>
      </c>
      <c r="K110">
        <f t="shared" si="7"/>
        <v>12.886118939701717</v>
      </c>
      <c r="L110">
        <f t="shared" si="8"/>
        <v>24.967129345639712</v>
      </c>
      <c r="M110">
        <f t="shared" si="9"/>
        <v>5.6660628053466037E-6</v>
      </c>
      <c r="N110">
        <f t="shared" si="10"/>
        <v>0.99999433393719461</v>
      </c>
      <c r="O110">
        <f t="shared" si="11"/>
        <v>0.99999433393719461</v>
      </c>
      <c r="P110">
        <f t="shared" si="12"/>
        <v>-5.6660788575817767E-6</v>
      </c>
    </row>
    <row r="111" spans="1:16" x14ac:dyDescent="0.3">
      <c r="A111" s="2">
        <f t="shared" si="13"/>
        <v>107</v>
      </c>
      <c r="B111" s="2">
        <v>15</v>
      </c>
      <c r="C111" s="2">
        <v>0.8</v>
      </c>
      <c r="D111" s="2">
        <v>15</v>
      </c>
      <c r="E111" s="2">
        <v>1</v>
      </c>
      <c r="F111" s="2">
        <v>45</v>
      </c>
      <c r="G111" s="2">
        <v>1</v>
      </c>
      <c r="H111" s="2">
        <v>40</v>
      </c>
      <c r="I111" s="2">
        <v>1</v>
      </c>
      <c r="J111" s="2">
        <v>0</v>
      </c>
      <c r="K111">
        <f t="shared" si="7"/>
        <v>69.229712134530658</v>
      </c>
      <c r="L111">
        <f t="shared" si="8"/>
        <v>18.785888036497418</v>
      </c>
      <c r="M111">
        <f t="shared" si="9"/>
        <v>1</v>
      </c>
      <c r="N111">
        <f t="shared" si="10"/>
        <v>1.2374439825820306E-22</v>
      </c>
      <c r="O111">
        <f t="shared" si="11"/>
        <v>1</v>
      </c>
      <c r="P111">
        <f t="shared" si="12"/>
        <v>0</v>
      </c>
    </row>
    <row r="112" spans="1:16" x14ac:dyDescent="0.3">
      <c r="A112" s="2">
        <f t="shared" si="13"/>
        <v>108</v>
      </c>
      <c r="B112" s="2">
        <v>25</v>
      </c>
      <c r="C112" s="2">
        <v>0.8</v>
      </c>
      <c r="D112" s="2">
        <v>15</v>
      </c>
      <c r="E112" s="2">
        <v>1</v>
      </c>
      <c r="F112" s="2">
        <v>90</v>
      </c>
      <c r="G112" s="2">
        <v>0.8</v>
      </c>
      <c r="H112" s="2">
        <v>10</v>
      </c>
      <c r="I112" s="2">
        <v>0</v>
      </c>
      <c r="J112" s="2">
        <v>1</v>
      </c>
      <c r="K112">
        <f t="shared" si="7"/>
        <v>19.528885066709069</v>
      </c>
      <c r="L112">
        <f t="shared" si="8"/>
        <v>21.417576995267474</v>
      </c>
      <c r="M112">
        <f t="shared" si="9"/>
        <v>0.13139368686042902</v>
      </c>
      <c r="N112">
        <f t="shared" si="10"/>
        <v>0.86860631313957104</v>
      </c>
      <c r="O112">
        <f t="shared" si="11"/>
        <v>0.86860631313957104</v>
      </c>
      <c r="P112">
        <f t="shared" si="12"/>
        <v>-0.14086529072964415</v>
      </c>
    </row>
    <row r="113" spans="1:16" x14ac:dyDescent="0.3">
      <c r="A113" s="2">
        <f t="shared" si="13"/>
        <v>109</v>
      </c>
      <c r="B113" s="2">
        <v>25</v>
      </c>
      <c r="C113" s="2">
        <v>0.4</v>
      </c>
      <c r="D113" s="2">
        <v>25</v>
      </c>
      <c r="E113" s="2">
        <v>1</v>
      </c>
      <c r="F113" s="2">
        <v>45</v>
      </c>
      <c r="G113" s="2">
        <v>0.8</v>
      </c>
      <c r="H113" s="2">
        <v>10</v>
      </c>
      <c r="I113" s="2">
        <v>0</v>
      </c>
      <c r="J113" s="2">
        <v>1</v>
      </c>
      <c r="K113">
        <f t="shared" si="7"/>
        <v>13.811006773961173</v>
      </c>
      <c r="L113">
        <f t="shared" si="8"/>
        <v>46.199347853855429</v>
      </c>
      <c r="M113">
        <f t="shared" si="9"/>
        <v>8.5885963284818228E-15</v>
      </c>
      <c r="N113">
        <f t="shared" si="10"/>
        <v>0.99999999999999134</v>
      </c>
      <c r="O113">
        <f t="shared" si="11"/>
        <v>0.99999999999999134</v>
      </c>
      <c r="P113">
        <f t="shared" si="12"/>
        <v>-8.6597395920762589E-15</v>
      </c>
    </row>
    <row r="114" spans="1:16" x14ac:dyDescent="0.3">
      <c r="A114" s="2">
        <f t="shared" si="13"/>
        <v>110</v>
      </c>
      <c r="B114" s="2">
        <v>15</v>
      </c>
      <c r="C114" s="2">
        <v>0.4</v>
      </c>
      <c r="D114" s="2">
        <v>20</v>
      </c>
      <c r="E114" s="2">
        <v>1</v>
      </c>
      <c r="F114" s="2">
        <v>90</v>
      </c>
      <c r="G114" s="2">
        <v>0.9</v>
      </c>
      <c r="H114" s="2">
        <v>20</v>
      </c>
      <c r="I114" s="2">
        <v>1</v>
      </c>
      <c r="J114" s="2">
        <v>0</v>
      </c>
      <c r="K114">
        <f t="shared" si="7"/>
        <v>37.529978976036332</v>
      </c>
      <c r="L114">
        <f t="shared" si="8"/>
        <v>34.72632581616363</v>
      </c>
      <c r="M114">
        <f t="shared" si="9"/>
        <v>0.94287291502570991</v>
      </c>
      <c r="N114">
        <f t="shared" si="10"/>
        <v>5.712708497429006E-2</v>
      </c>
      <c r="O114">
        <f t="shared" si="11"/>
        <v>0.94287291502570991</v>
      </c>
      <c r="P114">
        <f t="shared" si="12"/>
        <v>-5.8823772105274723E-2</v>
      </c>
    </row>
    <row r="115" spans="1:16" x14ac:dyDescent="0.3">
      <c r="A115" s="2">
        <f t="shared" si="13"/>
        <v>111</v>
      </c>
      <c r="B115" s="2">
        <v>25</v>
      </c>
      <c r="C115" s="2">
        <v>0.6</v>
      </c>
      <c r="D115" s="2">
        <v>20</v>
      </c>
      <c r="E115" s="2">
        <v>1</v>
      </c>
      <c r="F115" s="2">
        <v>45</v>
      </c>
      <c r="G115" s="2">
        <v>0.8</v>
      </c>
      <c r="H115" s="2">
        <v>10</v>
      </c>
      <c r="I115" s="2">
        <v>0</v>
      </c>
      <c r="J115" s="2">
        <v>1</v>
      </c>
      <c r="K115">
        <f t="shared" si="7"/>
        <v>13.811006773961173</v>
      </c>
      <c r="L115">
        <f t="shared" si="8"/>
        <v>33.808462424561448</v>
      </c>
      <c r="M115">
        <f t="shared" si="9"/>
        <v>2.0664045904718633E-9</v>
      </c>
      <c r="N115">
        <f t="shared" si="10"/>
        <v>0.99999999793359551</v>
      </c>
      <c r="O115">
        <f t="shared" si="11"/>
        <v>0.99999999793359551</v>
      </c>
      <c r="P115">
        <f t="shared" si="12"/>
        <v>-2.0664044940977284E-9</v>
      </c>
    </row>
    <row r="116" spans="1:16" x14ac:dyDescent="0.3">
      <c r="A116" s="2">
        <f t="shared" si="13"/>
        <v>112</v>
      </c>
      <c r="B116" s="2">
        <v>25</v>
      </c>
      <c r="C116" s="2">
        <v>0.6</v>
      </c>
      <c r="D116" s="2">
        <v>15</v>
      </c>
      <c r="E116" s="2">
        <v>1</v>
      </c>
      <c r="F116" s="2">
        <v>90</v>
      </c>
      <c r="G116" s="2">
        <v>1</v>
      </c>
      <c r="H116" s="2">
        <v>40</v>
      </c>
      <c r="I116" s="2">
        <v>1</v>
      </c>
      <c r="J116" s="2">
        <v>0</v>
      </c>
      <c r="K116">
        <f t="shared" si="7"/>
        <v>74.947590427278556</v>
      </c>
      <c r="L116">
        <f t="shared" si="8"/>
        <v>24.967129345639712</v>
      </c>
      <c r="M116">
        <f t="shared" si="9"/>
        <v>1</v>
      </c>
      <c r="N116">
        <f t="shared" si="10"/>
        <v>1.9668061121837329E-22</v>
      </c>
      <c r="O116">
        <f t="shared" si="11"/>
        <v>1</v>
      </c>
      <c r="P116">
        <f t="shared" si="12"/>
        <v>0</v>
      </c>
    </row>
    <row r="117" spans="1:16" x14ac:dyDescent="0.3">
      <c r="A117" s="2">
        <f t="shared" si="13"/>
        <v>113</v>
      </c>
      <c r="B117" s="2">
        <v>25</v>
      </c>
      <c r="C117" s="2">
        <v>0.6</v>
      </c>
      <c r="D117" s="2">
        <v>20</v>
      </c>
      <c r="E117" s="2">
        <v>1</v>
      </c>
      <c r="F117" s="2">
        <v>60</v>
      </c>
      <c r="G117" s="2">
        <v>0.8</v>
      </c>
      <c r="H117" s="2">
        <v>40</v>
      </c>
      <c r="I117" s="2">
        <v>1</v>
      </c>
      <c r="J117" s="2">
        <v>0</v>
      </c>
      <c r="K117">
        <f t="shared" si="7"/>
        <v>73.96651883062205</v>
      </c>
      <c r="L117">
        <f t="shared" si="8"/>
        <v>33.808462424561448</v>
      </c>
      <c r="M117">
        <f t="shared" si="9"/>
        <v>1</v>
      </c>
      <c r="N117">
        <f t="shared" si="10"/>
        <v>3.6272517498531532E-18</v>
      </c>
      <c r="O117">
        <f t="shared" si="11"/>
        <v>1</v>
      </c>
      <c r="P117">
        <f t="shared" si="12"/>
        <v>0</v>
      </c>
    </row>
    <row r="118" spans="1:16" x14ac:dyDescent="0.3">
      <c r="A118" s="2">
        <f t="shared" si="13"/>
        <v>114</v>
      </c>
      <c r="B118" s="2">
        <v>25</v>
      </c>
      <c r="C118" s="2">
        <v>0.4</v>
      </c>
      <c r="D118" s="2">
        <v>15</v>
      </c>
      <c r="E118" s="2">
        <v>1</v>
      </c>
      <c r="F118" s="2">
        <v>90</v>
      </c>
      <c r="G118" s="2">
        <v>0.8</v>
      </c>
      <c r="H118" s="2">
        <v>20</v>
      </c>
      <c r="I118" s="2">
        <v>1</v>
      </c>
      <c r="J118" s="2">
        <v>0</v>
      </c>
      <c r="K118">
        <f t="shared" si="7"/>
        <v>38.945402608624036</v>
      </c>
      <c r="L118">
        <f t="shared" si="8"/>
        <v>28.51668169601195</v>
      </c>
      <c r="M118">
        <f t="shared" si="9"/>
        <v>0.99997043000765695</v>
      </c>
      <c r="N118">
        <f t="shared" si="10"/>
        <v>2.9569992343093698E-5</v>
      </c>
      <c r="O118">
        <f t="shared" si="11"/>
        <v>0.99997043000765695</v>
      </c>
      <c r="P118">
        <f t="shared" si="12"/>
        <v>-2.9570429543890423E-5</v>
      </c>
    </row>
    <row r="119" spans="1:16" x14ac:dyDescent="0.3">
      <c r="A119" s="2">
        <f t="shared" si="13"/>
        <v>115</v>
      </c>
      <c r="B119" s="2">
        <v>15</v>
      </c>
      <c r="C119" s="2">
        <v>0.6</v>
      </c>
      <c r="D119" s="2">
        <v>25</v>
      </c>
      <c r="E119" s="2">
        <v>1</v>
      </c>
      <c r="F119" s="2">
        <v>60</v>
      </c>
      <c r="G119" s="2">
        <v>0.9</v>
      </c>
      <c r="H119" s="2">
        <v>10</v>
      </c>
      <c r="I119" s="2">
        <v>0</v>
      </c>
      <c r="J119" s="2">
        <v>1</v>
      </c>
      <c r="K119">
        <f t="shared" si="7"/>
        <v>14.301542572289428</v>
      </c>
      <c r="L119">
        <f t="shared" si="8"/>
        <v>40.018106544713142</v>
      </c>
      <c r="M119">
        <f t="shared" si="9"/>
        <v>6.7832554629963929E-12</v>
      </c>
      <c r="N119">
        <f t="shared" si="10"/>
        <v>0.99999999999321676</v>
      </c>
      <c r="O119">
        <f t="shared" si="11"/>
        <v>0.99999999999321676</v>
      </c>
      <c r="P119">
        <f t="shared" si="12"/>
        <v>-6.7832406358777874E-12</v>
      </c>
    </row>
    <row r="120" spans="1:16" x14ac:dyDescent="0.3">
      <c r="A120" s="2">
        <f t="shared" si="13"/>
        <v>116</v>
      </c>
      <c r="B120" s="2">
        <v>15</v>
      </c>
      <c r="C120" s="2">
        <v>0.4</v>
      </c>
      <c r="D120" s="2">
        <v>15</v>
      </c>
      <c r="E120" s="2">
        <v>1</v>
      </c>
      <c r="F120" s="2">
        <v>45</v>
      </c>
      <c r="G120" s="2">
        <v>0.8</v>
      </c>
      <c r="H120" s="2">
        <v>10</v>
      </c>
      <c r="I120" s="2">
        <v>0</v>
      </c>
      <c r="J120" s="2">
        <v>1</v>
      </c>
      <c r="K120">
        <f t="shared" si="7"/>
        <v>13.811006773961173</v>
      </c>
      <c r="L120">
        <f t="shared" si="8"/>
        <v>25.884992737241895</v>
      </c>
      <c r="M120">
        <f t="shared" si="9"/>
        <v>5.7060036282887079E-6</v>
      </c>
      <c r="N120">
        <f t="shared" si="10"/>
        <v>0.99999429399637163</v>
      </c>
      <c r="O120">
        <f t="shared" si="11"/>
        <v>0.99999429399637163</v>
      </c>
      <c r="P120">
        <f t="shared" si="12"/>
        <v>-5.7060199076702237E-6</v>
      </c>
    </row>
    <row r="121" spans="1:16" x14ac:dyDescent="0.3">
      <c r="A121" s="2">
        <f t="shared" si="13"/>
        <v>117</v>
      </c>
      <c r="B121" s="2">
        <v>25</v>
      </c>
      <c r="C121" s="2">
        <v>0.8</v>
      </c>
      <c r="D121" s="2">
        <v>15</v>
      </c>
      <c r="E121" s="2">
        <v>1</v>
      </c>
      <c r="F121" s="2">
        <v>60</v>
      </c>
      <c r="G121" s="2">
        <v>0.9</v>
      </c>
      <c r="H121" s="2">
        <v>20</v>
      </c>
      <c r="I121" s="2">
        <v>1</v>
      </c>
      <c r="J121" s="2">
        <v>0</v>
      </c>
      <c r="K121">
        <f t="shared" si="7"/>
        <v>33.718060114204398</v>
      </c>
      <c r="L121">
        <f t="shared" si="8"/>
        <v>21.417576995267474</v>
      </c>
      <c r="M121">
        <f t="shared" si="9"/>
        <v>0.99999545047473803</v>
      </c>
      <c r="N121">
        <f t="shared" si="10"/>
        <v>4.5495252619747412E-6</v>
      </c>
      <c r="O121">
        <f t="shared" si="11"/>
        <v>0.99999545047473803</v>
      </c>
      <c r="P121">
        <f t="shared" si="12"/>
        <v>-4.549535611086836E-6</v>
      </c>
    </row>
    <row r="122" spans="1:16" x14ac:dyDescent="0.3">
      <c r="A122" s="2">
        <f t="shared" si="13"/>
        <v>118</v>
      </c>
      <c r="B122" s="2">
        <v>25</v>
      </c>
      <c r="C122" s="2">
        <v>0.6</v>
      </c>
      <c r="D122" s="2">
        <v>20</v>
      </c>
      <c r="E122" s="2">
        <v>1</v>
      </c>
      <c r="F122" s="2">
        <v>90</v>
      </c>
      <c r="G122" s="2">
        <v>0.9</v>
      </c>
      <c r="H122" s="2">
        <v>40</v>
      </c>
      <c r="I122" s="2">
        <v>1</v>
      </c>
      <c r="J122" s="2">
        <v>0</v>
      </c>
      <c r="K122">
        <f t="shared" si="7"/>
        <v>76.363014059866273</v>
      </c>
      <c r="L122">
        <f t="shared" si="8"/>
        <v>33.808462424561448</v>
      </c>
      <c r="M122">
        <f t="shared" si="9"/>
        <v>1</v>
      </c>
      <c r="N122">
        <f t="shared" si="10"/>
        <v>3.302121469883905E-19</v>
      </c>
      <c r="O122">
        <f t="shared" si="11"/>
        <v>1</v>
      </c>
      <c r="P122">
        <f t="shared" si="12"/>
        <v>0</v>
      </c>
    </row>
    <row r="123" spans="1:16" x14ac:dyDescent="0.3">
      <c r="A123" s="2">
        <f t="shared" si="13"/>
        <v>119</v>
      </c>
      <c r="B123" s="2">
        <v>20</v>
      </c>
      <c r="C123" s="2">
        <v>0.6</v>
      </c>
      <c r="D123" s="2">
        <v>15</v>
      </c>
      <c r="E123" s="2">
        <v>1</v>
      </c>
      <c r="F123" s="2">
        <v>60</v>
      </c>
      <c r="G123" s="2">
        <v>0.8</v>
      </c>
      <c r="H123" s="2">
        <v>20</v>
      </c>
      <c r="I123" s="2">
        <v>1</v>
      </c>
      <c r="J123" s="2">
        <v>0</v>
      </c>
      <c r="K123">
        <f t="shared" si="7"/>
        <v>35.133483746792109</v>
      </c>
      <c r="L123">
        <f t="shared" si="8"/>
        <v>23.651284866254684</v>
      </c>
      <c r="M123">
        <f t="shared" si="9"/>
        <v>0.99998968807115451</v>
      </c>
      <c r="N123">
        <f t="shared" si="10"/>
        <v>1.0311928845465062E-5</v>
      </c>
      <c r="O123">
        <f t="shared" si="11"/>
        <v>0.99998968807115451</v>
      </c>
      <c r="P123">
        <f t="shared" si="12"/>
        <v>-1.0311982013789366E-5</v>
      </c>
    </row>
    <row r="124" spans="1:16" x14ac:dyDescent="0.3">
      <c r="A124" s="2">
        <f t="shared" si="13"/>
        <v>120</v>
      </c>
      <c r="B124" s="2">
        <v>25</v>
      </c>
      <c r="C124" s="2">
        <v>0.4</v>
      </c>
      <c r="D124" s="2">
        <v>15</v>
      </c>
      <c r="E124" s="2">
        <v>1</v>
      </c>
      <c r="F124" s="2">
        <v>45</v>
      </c>
      <c r="G124" s="2">
        <v>0.8</v>
      </c>
      <c r="H124" s="2">
        <v>10</v>
      </c>
      <c r="I124" s="2">
        <v>0</v>
      </c>
      <c r="J124" s="2">
        <v>1</v>
      </c>
      <c r="K124">
        <f t="shared" si="7"/>
        <v>13.811006773961173</v>
      </c>
      <c r="L124">
        <f t="shared" si="8"/>
        <v>28.51668169601195</v>
      </c>
      <c r="M124">
        <f t="shared" si="9"/>
        <v>4.1058809265876827E-7</v>
      </c>
      <c r="N124">
        <f t="shared" si="10"/>
        <v>0.99999958941190736</v>
      </c>
      <c r="O124">
        <f t="shared" si="11"/>
        <v>0.99999958941190736</v>
      </c>
      <c r="P124">
        <f t="shared" si="12"/>
        <v>-4.1058817692770206E-7</v>
      </c>
    </row>
    <row r="125" spans="1:16" x14ac:dyDescent="0.3">
      <c r="A125" s="2">
        <f t="shared" si="13"/>
        <v>121</v>
      </c>
      <c r="B125" s="2">
        <v>15</v>
      </c>
      <c r="C125" s="2">
        <v>0.6</v>
      </c>
      <c r="D125" s="2">
        <v>25</v>
      </c>
      <c r="E125" s="2">
        <v>1</v>
      </c>
      <c r="F125" s="2">
        <v>90</v>
      </c>
      <c r="G125" s="2">
        <v>0.9</v>
      </c>
      <c r="H125" s="2">
        <v>20</v>
      </c>
      <c r="I125" s="2">
        <v>0</v>
      </c>
      <c r="J125" s="2">
        <v>1</v>
      </c>
      <c r="K125">
        <f t="shared" si="7"/>
        <v>37.529978976036332</v>
      </c>
      <c r="L125">
        <f t="shared" si="8"/>
        <v>40.018106544713142</v>
      </c>
      <c r="M125">
        <f t="shared" si="9"/>
        <v>7.669468405088832E-2</v>
      </c>
      <c r="N125">
        <f t="shared" si="10"/>
        <v>0.92330531594911158</v>
      </c>
      <c r="O125">
        <f t="shared" si="11"/>
        <v>0.92330531594911158</v>
      </c>
      <c r="P125">
        <f t="shared" si="12"/>
        <v>-7.9795312666667353E-2</v>
      </c>
    </row>
    <row r="126" spans="1:16" x14ac:dyDescent="0.3">
      <c r="A126" s="2">
        <f t="shared" si="13"/>
        <v>122</v>
      </c>
      <c r="B126" s="2">
        <v>20</v>
      </c>
      <c r="C126" s="2">
        <v>0.4</v>
      </c>
      <c r="D126" s="2">
        <v>25</v>
      </c>
      <c r="E126" s="2">
        <v>1</v>
      </c>
      <c r="F126" s="2">
        <v>45</v>
      </c>
      <c r="G126" s="2">
        <v>0.9</v>
      </c>
      <c r="H126" s="2">
        <v>10</v>
      </c>
      <c r="I126" s="2">
        <v>0</v>
      </c>
      <c r="J126" s="2">
        <v>1</v>
      </c>
      <c r="K126">
        <f t="shared" si="7"/>
        <v>12.395583141373463</v>
      </c>
      <c r="L126">
        <f t="shared" si="8"/>
        <v>44.883503374470401</v>
      </c>
      <c r="M126">
        <f t="shared" si="9"/>
        <v>7.7745545344060091E-15</v>
      </c>
      <c r="N126">
        <f t="shared" si="10"/>
        <v>0.99999999999999223</v>
      </c>
      <c r="O126">
        <f t="shared" si="11"/>
        <v>0.99999999999999223</v>
      </c>
      <c r="P126">
        <f t="shared" si="12"/>
        <v>-7.7715611723761258E-15</v>
      </c>
    </row>
    <row r="127" spans="1:16" x14ac:dyDescent="0.3">
      <c r="A127" s="2">
        <f t="shared" si="13"/>
        <v>123</v>
      </c>
      <c r="B127" s="2">
        <v>25</v>
      </c>
      <c r="C127" s="2">
        <v>0.8</v>
      </c>
      <c r="D127" s="2">
        <v>25</v>
      </c>
      <c r="E127" s="2">
        <v>1</v>
      </c>
      <c r="F127" s="2">
        <v>90</v>
      </c>
      <c r="G127" s="2">
        <v>0.9</v>
      </c>
      <c r="H127" s="2">
        <v>20</v>
      </c>
      <c r="I127" s="2">
        <v>1</v>
      </c>
      <c r="J127" s="2">
        <v>0</v>
      </c>
      <c r="K127">
        <f t="shared" si="7"/>
        <v>37.529978976036332</v>
      </c>
      <c r="L127">
        <f t="shared" si="8"/>
        <v>39.100243153110959</v>
      </c>
      <c r="M127">
        <f t="shared" si="9"/>
        <v>0.17217873446433735</v>
      </c>
      <c r="N127">
        <f t="shared" si="10"/>
        <v>0.8278212655356626</v>
      </c>
      <c r="O127">
        <f t="shared" si="11"/>
        <v>0.17217873446433735</v>
      </c>
      <c r="P127">
        <f t="shared" si="12"/>
        <v>-1.7592221878528835</v>
      </c>
    </row>
    <row r="128" spans="1:16" x14ac:dyDescent="0.3">
      <c r="A128" s="2">
        <f t="shared" si="13"/>
        <v>124</v>
      </c>
      <c r="B128" s="2">
        <v>20</v>
      </c>
      <c r="C128" s="2">
        <v>0.4</v>
      </c>
      <c r="D128" s="2">
        <v>20</v>
      </c>
      <c r="E128" s="2">
        <v>1</v>
      </c>
      <c r="F128" s="2">
        <v>45</v>
      </c>
      <c r="G128" s="2">
        <v>1</v>
      </c>
      <c r="H128" s="2">
        <v>40</v>
      </c>
      <c r="I128" s="2">
        <v>1</v>
      </c>
      <c r="J128" s="2">
        <v>0</v>
      </c>
      <c r="K128">
        <f t="shared" si="7"/>
        <v>69.229712134530658</v>
      </c>
      <c r="L128">
        <f t="shared" si="8"/>
        <v>36.042170295548658</v>
      </c>
      <c r="M128">
        <f t="shared" si="9"/>
        <v>0.99999999999999611</v>
      </c>
      <c r="N128">
        <f t="shared" si="10"/>
        <v>3.8621906790712074E-15</v>
      </c>
      <c r="O128">
        <f t="shared" si="11"/>
        <v>0.99999999999999611</v>
      </c>
      <c r="P128">
        <f t="shared" si="12"/>
        <v>-3.8857805861880558E-15</v>
      </c>
    </row>
    <row r="129" spans="1:16" x14ac:dyDescent="0.3">
      <c r="A129" s="2">
        <f t="shared" si="13"/>
        <v>125</v>
      </c>
      <c r="B129" s="2">
        <v>15</v>
      </c>
      <c r="C129" s="2">
        <v>0.6</v>
      </c>
      <c r="D129" s="2">
        <v>20</v>
      </c>
      <c r="E129" s="2">
        <v>1</v>
      </c>
      <c r="F129" s="2">
        <v>90</v>
      </c>
      <c r="G129" s="2">
        <v>0.8</v>
      </c>
      <c r="H129" s="2">
        <v>10</v>
      </c>
      <c r="I129" s="2">
        <v>0</v>
      </c>
      <c r="J129" s="2">
        <v>1</v>
      </c>
      <c r="K129">
        <f t="shared" si="7"/>
        <v>19.528885066709069</v>
      </c>
      <c r="L129">
        <f t="shared" si="8"/>
        <v>31.176773465791396</v>
      </c>
      <c r="M129">
        <f t="shared" si="9"/>
        <v>8.737406630501065E-6</v>
      </c>
      <c r="N129">
        <f t="shared" si="10"/>
        <v>0.99999126259336946</v>
      </c>
      <c r="O129">
        <f t="shared" si="11"/>
        <v>0.99999126259336946</v>
      </c>
      <c r="P129">
        <f t="shared" si="12"/>
        <v>-8.7374448019031139E-6</v>
      </c>
    </row>
    <row r="130" spans="1:16" x14ac:dyDescent="0.3">
      <c r="A130" s="2">
        <f t="shared" si="13"/>
        <v>126</v>
      </c>
      <c r="B130" s="2">
        <v>20</v>
      </c>
      <c r="C130" s="2">
        <v>0.4</v>
      </c>
      <c r="D130" s="2">
        <v>15</v>
      </c>
      <c r="E130" s="2">
        <v>1</v>
      </c>
      <c r="F130" s="2">
        <v>60</v>
      </c>
      <c r="G130" s="2">
        <v>0.9</v>
      </c>
      <c r="H130" s="2">
        <v>20</v>
      </c>
      <c r="I130" s="2">
        <v>1</v>
      </c>
      <c r="J130" s="2">
        <v>0</v>
      </c>
      <c r="K130">
        <f t="shared" si="7"/>
        <v>33.718060114204398</v>
      </c>
      <c r="L130">
        <f t="shared" si="8"/>
        <v>27.200837216626923</v>
      </c>
      <c r="M130">
        <f t="shared" si="9"/>
        <v>0.99852441325353247</v>
      </c>
      <c r="N130">
        <f t="shared" si="10"/>
        <v>1.4755867464675443E-3</v>
      </c>
      <c r="O130">
        <f t="shared" si="11"/>
        <v>0.99852441325353247</v>
      </c>
      <c r="P130">
        <f t="shared" si="12"/>
        <v>-1.4766764967366636E-3</v>
      </c>
    </row>
    <row r="131" spans="1:16" x14ac:dyDescent="0.3">
      <c r="A131" s="2">
        <f t="shared" si="13"/>
        <v>127</v>
      </c>
      <c r="B131" s="2">
        <v>25</v>
      </c>
      <c r="C131" s="2">
        <v>0.8</v>
      </c>
      <c r="D131" s="2">
        <v>15</v>
      </c>
      <c r="E131" s="2">
        <v>1</v>
      </c>
      <c r="F131" s="2">
        <v>60</v>
      </c>
      <c r="G131" s="2">
        <v>0.8</v>
      </c>
      <c r="H131" s="2">
        <v>10</v>
      </c>
      <c r="I131" s="2">
        <v>0</v>
      </c>
      <c r="J131" s="2">
        <v>1</v>
      </c>
      <c r="K131">
        <f t="shared" si="7"/>
        <v>15.716966204877139</v>
      </c>
      <c r="L131">
        <f t="shared" si="8"/>
        <v>21.417576995267474</v>
      </c>
      <c r="M131">
        <f t="shared" si="9"/>
        <v>3.3327778474361806E-3</v>
      </c>
      <c r="N131">
        <f t="shared" si="10"/>
        <v>0.99666722215256387</v>
      </c>
      <c r="O131">
        <f t="shared" si="11"/>
        <v>0.99666722215256387</v>
      </c>
      <c r="P131">
        <f t="shared" si="12"/>
        <v>-3.3383439219603801E-3</v>
      </c>
    </row>
    <row r="132" spans="1:16" x14ac:dyDescent="0.3">
      <c r="A132" s="2">
        <f t="shared" si="13"/>
        <v>128</v>
      </c>
      <c r="B132" s="2">
        <v>25</v>
      </c>
      <c r="C132" s="2">
        <v>0.6</v>
      </c>
      <c r="D132" s="2">
        <v>20</v>
      </c>
      <c r="E132" s="2">
        <v>1</v>
      </c>
      <c r="F132" s="2">
        <v>60</v>
      </c>
      <c r="G132" s="2">
        <v>1</v>
      </c>
      <c r="H132" s="2">
        <v>10</v>
      </c>
      <c r="I132" s="2">
        <v>0</v>
      </c>
      <c r="J132" s="2">
        <v>1</v>
      </c>
      <c r="K132">
        <f t="shared" si="7"/>
        <v>12.886118939701717</v>
      </c>
      <c r="L132">
        <f t="shared" si="8"/>
        <v>33.808462424561448</v>
      </c>
      <c r="M132">
        <f t="shared" si="9"/>
        <v>8.1948625879283983E-10</v>
      </c>
      <c r="N132">
        <f t="shared" si="10"/>
        <v>0.99999999918051374</v>
      </c>
      <c r="O132">
        <f t="shared" si="11"/>
        <v>0.99999999918051374</v>
      </c>
      <c r="P132">
        <f t="shared" si="12"/>
        <v>-8.1948625696708657E-10</v>
      </c>
    </row>
    <row r="133" spans="1:16" x14ac:dyDescent="0.3">
      <c r="A133" s="2">
        <f t="shared" si="13"/>
        <v>129</v>
      </c>
      <c r="B133" s="2">
        <v>20</v>
      </c>
      <c r="C133" s="2">
        <v>0.6</v>
      </c>
      <c r="D133" s="2">
        <v>25</v>
      </c>
      <c r="E133" s="2">
        <v>1</v>
      </c>
      <c r="F133" s="2">
        <v>90</v>
      </c>
      <c r="G133" s="2">
        <v>0.9</v>
      </c>
      <c r="H133" s="2">
        <v>20</v>
      </c>
      <c r="I133" s="2">
        <v>0</v>
      </c>
      <c r="J133" s="2">
        <v>1</v>
      </c>
      <c r="K133">
        <f t="shared" si="7"/>
        <v>37.529978976036332</v>
      </c>
      <c r="L133">
        <f t="shared" si="8"/>
        <v>41.33395102409817</v>
      </c>
      <c r="M133">
        <f t="shared" si="9"/>
        <v>2.1796420505188849E-2</v>
      </c>
      <c r="N133">
        <f t="shared" si="10"/>
        <v>0.97820357949481107</v>
      </c>
      <c r="O133">
        <f t="shared" si="11"/>
        <v>0.97820357949481107</v>
      </c>
      <c r="P133">
        <f t="shared" si="12"/>
        <v>-2.203747161674742E-2</v>
      </c>
    </row>
    <row r="134" spans="1:16" x14ac:dyDescent="0.3">
      <c r="A134" s="2">
        <f t="shared" si="13"/>
        <v>130</v>
      </c>
      <c r="B134" s="2">
        <v>20</v>
      </c>
      <c r="C134" s="2">
        <v>0.8</v>
      </c>
      <c r="D134" s="2">
        <v>15</v>
      </c>
      <c r="E134" s="2">
        <v>1</v>
      </c>
      <c r="F134" s="2">
        <v>45</v>
      </c>
      <c r="G134" s="2">
        <v>0.8</v>
      </c>
      <c r="H134" s="2">
        <v>10</v>
      </c>
      <c r="I134" s="2">
        <v>0</v>
      </c>
      <c r="J134" s="2">
        <v>1</v>
      </c>
      <c r="K134">
        <f t="shared" ref="K134:K197" si="14">$F$3*F134+$G$3*G134+$H$3*H134</f>
        <v>13.811006773961173</v>
      </c>
      <c r="L134">
        <f t="shared" ref="L134:L197" si="15">$B$3*B134+$C$3*C134+$D$3*D134+$E$3*E134</f>
        <v>20.101732515882446</v>
      </c>
      <c r="M134">
        <f t="shared" ref="M134:M197" si="16">EXP(K134)/(EXP(K134)+EXP(L134))</f>
        <v>1.8499855683276072E-3</v>
      </c>
      <c r="N134">
        <f t="shared" ref="N134:N197" si="17">EXP(L134)/(EXP(L134)+EXP(K134))</f>
        <v>0.99815001443167228</v>
      </c>
      <c r="O134">
        <f t="shared" ref="O134:O197" si="18">I134*M134+J134*N134</f>
        <v>0.99815001443167228</v>
      </c>
      <c r="P134">
        <f t="shared" ref="P134:P197" si="19">LN(O134)</f>
        <v>-1.8516989050541275E-3</v>
      </c>
    </row>
    <row r="135" spans="1:16" x14ac:dyDescent="0.3">
      <c r="A135" s="2">
        <f t="shared" ref="A135:A198" si="20">A134+1</f>
        <v>131</v>
      </c>
      <c r="B135" s="2">
        <v>25</v>
      </c>
      <c r="C135" s="2">
        <v>0.4</v>
      </c>
      <c r="D135" s="2">
        <v>15</v>
      </c>
      <c r="E135" s="2">
        <v>1</v>
      </c>
      <c r="F135" s="2">
        <v>45</v>
      </c>
      <c r="G135" s="2">
        <v>0.9</v>
      </c>
      <c r="H135" s="2">
        <v>40</v>
      </c>
      <c r="I135" s="2">
        <v>1</v>
      </c>
      <c r="J135" s="2">
        <v>0</v>
      </c>
      <c r="K135">
        <f t="shared" si="14"/>
        <v>70.645135767118376</v>
      </c>
      <c r="L135">
        <f t="shared" si="15"/>
        <v>28.51668169601195</v>
      </c>
      <c r="M135">
        <f t="shared" si="16"/>
        <v>1</v>
      </c>
      <c r="N135">
        <f t="shared" si="17"/>
        <v>5.0564400880119605E-19</v>
      </c>
      <c r="O135">
        <f t="shared" si="18"/>
        <v>1</v>
      </c>
      <c r="P135">
        <f t="shared" si="19"/>
        <v>0</v>
      </c>
    </row>
    <row r="136" spans="1:16" x14ac:dyDescent="0.3">
      <c r="A136" s="2">
        <f t="shared" si="20"/>
        <v>132</v>
      </c>
      <c r="B136" s="2">
        <v>15</v>
      </c>
      <c r="C136" s="2">
        <v>0.6</v>
      </c>
      <c r="D136" s="2">
        <v>20</v>
      </c>
      <c r="E136" s="2">
        <v>1</v>
      </c>
      <c r="F136" s="2">
        <v>45</v>
      </c>
      <c r="G136" s="2">
        <v>0.8</v>
      </c>
      <c r="H136" s="2">
        <v>10</v>
      </c>
      <c r="I136" s="2">
        <v>0</v>
      </c>
      <c r="J136" s="2">
        <v>1</v>
      </c>
      <c r="K136">
        <f t="shared" si="14"/>
        <v>13.811006773961173</v>
      </c>
      <c r="L136">
        <f t="shared" si="15"/>
        <v>31.176773465791396</v>
      </c>
      <c r="M136">
        <f t="shared" si="16"/>
        <v>2.8717282418707681E-8</v>
      </c>
      <c r="N136">
        <f t="shared" si="17"/>
        <v>0.99999997128271756</v>
      </c>
      <c r="O136">
        <f t="shared" si="18"/>
        <v>0.99999997128271756</v>
      </c>
      <c r="P136">
        <f t="shared" si="19"/>
        <v>-2.871728285325659E-8</v>
      </c>
    </row>
    <row r="137" spans="1:16" x14ac:dyDescent="0.3">
      <c r="A137" s="2">
        <f t="shared" si="20"/>
        <v>133</v>
      </c>
      <c r="B137" s="2">
        <v>25</v>
      </c>
      <c r="C137" s="2">
        <v>0.4</v>
      </c>
      <c r="D137" s="2">
        <v>20</v>
      </c>
      <c r="E137" s="2">
        <v>1</v>
      </c>
      <c r="F137" s="2">
        <v>90</v>
      </c>
      <c r="G137" s="2">
        <v>0.9</v>
      </c>
      <c r="H137" s="2">
        <v>10</v>
      </c>
      <c r="I137" s="2">
        <v>0</v>
      </c>
      <c r="J137" s="2">
        <v>1</v>
      </c>
      <c r="K137">
        <f t="shared" si="14"/>
        <v>18.113461434121358</v>
      </c>
      <c r="L137">
        <f t="shared" si="15"/>
        <v>37.358014774933686</v>
      </c>
      <c r="M137">
        <f t="shared" si="16"/>
        <v>4.3872933665801619E-9</v>
      </c>
      <c r="N137">
        <f t="shared" si="17"/>
        <v>0.99999999561270669</v>
      </c>
      <c r="O137">
        <f t="shared" si="18"/>
        <v>0.99999999561270669</v>
      </c>
      <c r="P137">
        <f t="shared" si="19"/>
        <v>-4.3872933160534563E-9</v>
      </c>
    </row>
    <row r="138" spans="1:16" x14ac:dyDescent="0.3">
      <c r="A138" s="2">
        <f t="shared" si="20"/>
        <v>134</v>
      </c>
      <c r="B138" s="2">
        <v>20</v>
      </c>
      <c r="C138" s="2">
        <v>0.6</v>
      </c>
      <c r="D138" s="2">
        <v>25</v>
      </c>
      <c r="E138" s="2">
        <v>1</v>
      </c>
      <c r="F138" s="2">
        <v>90</v>
      </c>
      <c r="G138" s="2">
        <v>1</v>
      </c>
      <c r="H138" s="2">
        <v>10</v>
      </c>
      <c r="I138" s="2">
        <v>0</v>
      </c>
      <c r="J138" s="2">
        <v>1</v>
      </c>
      <c r="K138">
        <f t="shared" si="14"/>
        <v>16.698037801533648</v>
      </c>
      <c r="L138">
        <f t="shared" si="15"/>
        <v>41.33395102409817</v>
      </c>
      <c r="M138">
        <f t="shared" si="16"/>
        <v>1.9987516293496168E-11</v>
      </c>
      <c r="N138">
        <f t="shared" si="17"/>
        <v>0.99999999998001254</v>
      </c>
      <c r="O138">
        <f t="shared" si="18"/>
        <v>0.99999999998001254</v>
      </c>
      <c r="P138">
        <f t="shared" si="19"/>
        <v>-1.9987456134828904E-11</v>
      </c>
    </row>
    <row r="139" spans="1:16" x14ac:dyDescent="0.3">
      <c r="A139" s="2">
        <f t="shared" si="20"/>
        <v>135</v>
      </c>
      <c r="B139" s="2">
        <v>20</v>
      </c>
      <c r="C139" s="2">
        <v>0.6</v>
      </c>
      <c r="D139" s="2">
        <v>20</v>
      </c>
      <c r="E139" s="2">
        <v>1</v>
      </c>
      <c r="F139" s="2">
        <v>90</v>
      </c>
      <c r="G139" s="2">
        <v>1</v>
      </c>
      <c r="H139" s="2">
        <v>10</v>
      </c>
      <c r="I139" s="2">
        <v>0</v>
      </c>
      <c r="J139" s="2">
        <v>1</v>
      </c>
      <c r="K139">
        <f t="shared" si="14"/>
        <v>16.698037801533648</v>
      </c>
      <c r="L139">
        <f t="shared" si="15"/>
        <v>32.49261794517642</v>
      </c>
      <c r="M139">
        <f t="shared" si="16"/>
        <v>1.3819773958782065E-7</v>
      </c>
      <c r="N139">
        <f t="shared" si="17"/>
        <v>0.99999986180226041</v>
      </c>
      <c r="O139">
        <f t="shared" si="18"/>
        <v>0.99999986180226041</v>
      </c>
      <c r="P139">
        <f t="shared" si="19"/>
        <v>-1.3819774913465248E-7</v>
      </c>
    </row>
    <row r="140" spans="1:16" x14ac:dyDescent="0.3">
      <c r="A140" s="2">
        <f t="shared" si="20"/>
        <v>136</v>
      </c>
      <c r="B140" s="2">
        <v>20</v>
      </c>
      <c r="C140" s="2">
        <v>0.6</v>
      </c>
      <c r="D140" s="2">
        <v>25</v>
      </c>
      <c r="E140" s="2">
        <v>1</v>
      </c>
      <c r="F140" s="2">
        <v>90</v>
      </c>
      <c r="G140" s="2">
        <v>0.9</v>
      </c>
      <c r="H140" s="2">
        <v>20</v>
      </c>
      <c r="I140" s="2">
        <v>0</v>
      </c>
      <c r="J140" s="2">
        <v>1</v>
      </c>
      <c r="K140">
        <f t="shared" si="14"/>
        <v>37.529978976036332</v>
      </c>
      <c r="L140">
        <f t="shared" si="15"/>
        <v>41.33395102409817</v>
      </c>
      <c r="M140">
        <f t="shared" si="16"/>
        <v>2.1796420505188849E-2</v>
      </c>
      <c r="N140">
        <f t="shared" si="17"/>
        <v>0.97820357949481107</v>
      </c>
      <c r="O140">
        <f t="shared" si="18"/>
        <v>0.97820357949481107</v>
      </c>
      <c r="P140">
        <f t="shared" si="19"/>
        <v>-2.203747161674742E-2</v>
      </c>
    </row>
    <row r="141" spans="1:16" x14ac:dyDescent="0.3">
      <c r="A141" s="2">
        <f t="shared" si="20"/>
        <v>137</v>
      </c>
      <c r="B141" s="2">
        <v>15</v>
      </c>
      <c r="C141" s="2">
        <v>0.8</v>
      </c>
      <c r="D141" s="2">
        <v>25</v>
      </c>
      <c r="E141" s="2">
        <v>1</v>
      </c>
      <c r="F141" s="2">
        <v>60</v>
      </c>
      <c r="G141" s="2">
        <v>1</v>
      </c>
      <c r="H141" s="2">
        <v>20</v>
      </c>
      <c r="I141" s="2">
        <v>0</v>
      </c>
      <c r="J141" s="2">
        <v>1</v>
      </c>
      <c r="K141">
        <f t="shared" si="14"/>
        <v>32.302636481616688</v>
      </c>
      <c r="L141">
        <f t="shared" si="15"/>
        <v>36.468554194340904</v>
      </c>
      <c r="M141">
        <f t="shared" si="16"/>
        <v>1.5278417793547336E-2</v>
      </c>
      <c r="N141">
        <f t="shared" si="17"/>
        <v>0.98472158220645267</v>
      </c>
      <c r="O141">
        <f t="shared" si="18"/>
        <v>0.98472158220645267</v>
      </c>
      <c r="P141">
        <f t="shared" si="19"/>
        <v>-1.5396335423677059E-2</v>
      </c>
    </row>
    <row r="142" spans="1:16" x14ac:dyDescent="0.3">
      <c r="A142" s="2">
        <f t="shared" si="20"/>
        <v>138</v>
      </c>
      <c r="B142" s="2">
        <v>25</v>
      </c>
      <c r="C142" s="2">
        <v>0.8</v>
      </c>
      <c r="D142" s="2">
        <v>15</v>
      </c>
      <c r="E142" s="2">
        <v>1</v>
      </c>
      <c r="F142" s="2">
        <v>60</v>
      </c>
      <c r="G142" s="2">
        <v>0.8</v>
      </c>
      <c r="H142" s="2">
        <v>10</v>
      </c>
      <c r="I142" s="2">
        <v>0</v>
      </c>
      <c r="J142" s="2">
        <v>1</v>
      </c>
      <c r="K142">
        <f t="shared" si="14"/>
        <v>15.716966204877139</v>
      </c>
      <c r="L142">
        <f t="shared" si="15"/>
        <v>21.417576995267474</v>
      </c>
      <c r="M142">
        <f t="shared" si="16"/>
        <v>3.3327778474361806E-3</v>
      </c>
      <c r="N142">
        <f t="shared" si="17"/>
        <v>0.99666722215256387</v>
      </c>
      <c r="O142">
        <f t="shared" si="18"/>
        <v>0.99666722215256387</v>
      </c>
      <c r="P142">
        <f t="shared" si="19"/>
        <v>-3.3383439219603801E-3</v>
      </c>
    </row>
    <row r="143" spans="1:16" x14ac:dyDescent="0.3">
      <c r="A143" s="2">
        <f t="shared" si="20"/>
        <v>139</v>
      </c>
      <c r="B143" s="2">
        <v>25</v>
      </c>
      <c r="C143" s="2">
        <v>0.4</v>
      </c>
      <c r="D143" s="2">
        <v>15</v>
      </c>
      <c r="E143" s="2">
        <v>1</v>
      </c>
      <c r="F143" s="2">
        <v>90</v>
      </c>
      <c r="G143" s="2">
        <v>0.9</v>
      </c>
      <c r="H143" s="2">
        <v>40</v>
      </c>
      <c r="I143" s="2">
        <v>1</v>
      </c>
      <c r="J143" s="2">
        <v>0</v>
      </c>
      <c r="K143">
        <f t="shared" si="14"/>
        <v>76.363014059866273</v>
      </c>
      <c r="L143">
        <f t="shared" si="15"/>
        <v>28.51668169601195</v>
      </c>
      <c r="M143">
        <f t="shared" si="16"/>
        <v>1</v>
      </c>
      <c r="N143">
        <f t="shared" si="17"/>
        <v>1.6618884712224712E-21</v>
      </c>
      <c r="O143">
        <f t="shared" si="18"/>
        <v>1</v>
      </c>
      <c r="P143">
        <f t="shared" si="19"/>
        <v>0</v>
      </c>
    </row>
    <row r="144" spans="1:16" x14ac:dyDescent="0.3">
      <c r="A144" s="2">
        <f t="shared" si="20"/>
        <v>140</v>
      </c>
      <c r="B144" s="2">
        <v>25</v>
      </c>
      <c r="C144" s="2">
        <v>0.6</v>
      </c>
      <c r="D144" s="2">
        <v>20</v>
      </c>
      <c r="E144" s="2">
        <v>1</v>
      </c>
      <c r="F144" s="2">
        <v>60</v>
      </c>
      <c r="G144" s="2">
        <v>1</v>
      </c>
      <c r="H144" s="2">
        <v>20</v>
      </c>
      <c r="I144" s="2">
        <v>1</v>
      </c>
      <c r="J144" s="2">
        <v>0</v>
      </c>
      <c r="K144">
        <f t="shared" si="14"/>
        <v>32.302636481616688</v>
      </c>
      <c r="L144">
        <f t="shared" si="15"/>
        <v>33.808462424561448</v>
      </c>
      <c r="M144">
        <f t="shared" si="16"/>
        <v>0.18155821221390714</v>
      </c>
      <c r="N144">
        <f t="shared" si="17"/>
        <v>0.81844178778609278</v>
      </c>
      <c r="O144">
        <f t="shared" si="18"/>
        <v>0.18155821221390714</v>
      </c>
      <c r="P144">
        <f t="shared" si="19"/>
        <v>-1.7061789482483276</v>
      </c>
    </row>
    <row r="145" spans="1:16" x14ac:dyDescent="0.3">
      <c r="A145" s="2">
        <f t="shared" si="20"/>
        <v>141</v>
      </c>
      <c r="B145" s="2">
        <v>25</v>
      </c>
      <c r="C145" s="2">
        <v>0.4</v>
      </c>
      <c r="D145" s="2">
        <v>25</v>
      </c>
      <c r="E145" s="2">
        <v>1</v>
      </c>
      <c r="F145" s="2">
        <v>90</v>
      </c>
      <c r="G145" s="2">
        <v>0.8</v>
      </c>
      <c r="H145" s="2">
        <v>40</v>
      </c>
      <c r="I145" s="2">
        <v>1</v>
      </c>
      <c r="J145" s="2">
        <v>0</v>
      </c>
      <c r="K145">
        <f t="shared" si="14"/>
        <v>77.778437692453977</v>
      </c>
      <c r="L145">
        <f t="shared" si="15"/>
        <v>46.199347853855429</v>
      </c>
      <c r="M145">
        <f t="shared" si="16"/>
        <v>0.99999999999998057</v>
      </c>
      <c r="N145">
        <f t="shared" si="17"/>
        <v>1.9291923875951408E-14</v>
      </c>
      <c r="O145">
        <f t="shared" si="18"/>
        <v>0.99999999999998057</v>
      </c>
      <c r="P145">
        <f t="shared" si="19"/>
        <v>-1.9428902930940429E-14</v>
      </c>
    </row>
    <row r="146" spans="1:16" x14ac:dyDescent="0.3">
      <c r="A146" s="2">
        <f t="shared" si="20"/>
        <v>142</v>
      </c>
      <c r="B146" s="2">
        <v>15</v>
      </c>
      <c r="C146" s="2">
        <v>0.4</v>
      </c>
      <c r="D146" s="2">
        <v>20</v>
      </c>
      <c r="E146" s="2">
        <v>1</v>
      </c>
      <c r="F146" s="2">
        <v>60</v>
      </c>
      <c r="G146" s="2">
        <v>0.8</v>
      </c>
      <c r="H146" s="2">
        <v>20</v>
      </c>
      <c r="I146" s="2">
        <v>1</v>
      </c>
      <c r="J146" s="2">
        <v>0</v>
      </c>
      <c r="K146">
        <f t="shared" si="14"/>
        <v>35.133483746792109</v>
      </c>
      <c r="L146">
        <f t="shared" si="15"/>
        <v>34.72632581616363</v>
      </c>
      <c r="M146">
        <f t="shared" si="16"/>
        <v>0.6004062085439742</v>
      </c>
      <c r="N146">
        <f t="shared" si="17"/>
        <v>0.3995937914560258</v>
      </c>
      <c r="O146">
        <f t="shared" si="18"/>
        <v>0.6004062085439742</v>
      </c>
      <c r="P146">
        <f t="shared" si="19"/>
        <v>-0.51014883859679061</v>
      </c>
    </row>
    <row r="147" spans="1:16" x14ac:dyDescent="0.3">
      <c r="A147" s="2">
        <f t="shared" si="20"/>
        <v>143</v>
      </c>
      <c r="B147" s="2">
        <v>20</v>
      </c>
      <c r="C147" s="2">
        <v>0.8</v>
      </c>
      <c r="D147" s="2">
        <v>20</v>
      </c>
      <c r="E147" s="2">
        <v>1</v>
      </c>
      <c r="F147" s="2">
        <v>45</v>
      </c>
      <c r="G147" s="2">
        <v>0.8</v>
      </c>
      <c r="H147" s="2">
        <v>40</v>
      </c>
      <c r="I147" s="2">
        <v>1</v>
      </c>
      <c r="J147" s="2">
        <v>0</v>
      </c>
      <c r="K147">
        <f t="shared" si="14"/>
        <v>72.060559399706079</v>
      </c>
      <c r="L147">
        <f t="shared" si="15"/>
        <v>28.943065594804185</v>
      </c>
      <c r="M147">
        <f t="shared" si="16"/>
        <v>1</v>
      </c>
      <c r="N147">
        <f t="shared" si="17"/>
        <v>1.8806603440137751E-19</v>
      </c>
      <c r="O147">
        <f t="shared" si="18"/>
        <v>1</v>
      </c>
      <c r="P147">
        <f t="shared" si="19"/>
        <v>0</v>
      </c>
    </row>
    <row r="148" spans="1:16" x14ac:dyDescent="0.3">
      <c r="A148" s="2">
        <f t="shared" si="20"/>
        <v>144</v>
      </c>
      <c r="B148" s="2">
        <v>15</v>
      </c>
      <c r="C148" s="2">
        <v>0.6</v>
      </c>
      <c r="D148" s="2">
        <v>20</v>
      </c>
      <c r="E148" s="2">
        <v>1</v>
      </c>
      <c r="F148" s="2">
        <v>90</v>
      </c>
      <c r="G148" s="2">
        <v>1</v>
      </c>
      <c r="H148" s="2">
        <v>40</v>
      </c>
      <c r="I148" s="2">
        <v>1</v>
      </c>
      <c r="J148" s="2">
        <v>0</v>
      </c>
      <c r="K148">
        <f t="shared" si="14"/>
        <v>74.947590427278556</v>
      </c>
      <c r="L148">
        <f t="shared" si="15"/>
        <v>31.176773465791396</v>
      </c>
      <c r="M148">
        <f t="shared" si="16"/>
        <v>1</v>
      </c>
      <c r="N148">
        <f t="shared" si="17"/>
        <v>9.7853356072400317E-20</v>
      </c>
      <c r="O148">
        <f t="shared" si="18"/>
        <v>1</v>
      </c>
      <c r="P148">
        <f t="shared" si="19"/>
        <v>0</v>
      </c>
    </row>
    <row r="149" spans="1:16" x14ac:dyDescent="0.3">
      <c r="A149" s="2">
        <f t="shared" si="20"/>
        <v>145</v>
      </c>
      <c r="B149" s="2">
        <v>15</v>
      </c>
      <c r="C149" s="2">
        <v>0.6</v>
      </c>
      <c r="D149" s="2">
        <v>20</v>
      </c>
      <c r="E149" s="2">
        <v>1</v>
      </c>
      <c r="F149" s="2">
        <v>90</v>
      </c>
      <c r="G149" s="2">
        <v>0.8</v>
      </c>
      <c r="H149" s="2">
        <v>10</v>
      </c>
      <c r="I149" s="2">
        <v>0</v>
      </c>
      <c r="J149" s="2">
        <v>1</v>
      </c>
      <c r="K149">
        <f t="shared" si="14"/>
        <v>19.528885066709069</v>
      </c>
      <c r="L149">
        <f t="shared" si="15"/>
        <v>31.176773465791396</v>
      </c>
      <c r="M149">
        <f t="shared" si="16"/>
        <v>8.737406630501065E-6</v>
      </c>
      <c r="N149">
        <f t="shared" si="17"/>
        <v>0.99999126259336946</v>
      </c>
      <c r="O149">
        <f t="shared" si="18"/>
        <v>0.99999126259336946</v>
      </c>
      <c r="P149">
        <f t="shared" si="19"/>
        <v>-8.7374448019031139E-6</v>
      </c>
    </row>
    <row r="150" spans="1:16" x14ac:dyDescent="0.3">
      <c r="A150" s="2">
        <f t="shared" si="20"/>
        <v>146</v>
      </c>
      <c r="B150" s="2">
        <v>20</v>
      </c>
      <c r="C150" s="2">
        <v>0.6</v>
      </c>
      <c r="D150" s="2">
        <v>20</v>
      </c>
      <c r="E150" s="2">
        <v>1</v>
      </c>
      <c r="F150" s="2">
        <v>45</v>
      </c>
      <c r="G150" s="2">
        <v>0.8</v>
      </c>
      <c r="H150" s="2">
        <v>10</v>
      </c>
      <c r="I150" s="2">
        <v>0</v>
      </c>
      <c r="J150" s="2">
        <v>1</v>
      </c>
      <c r="K150">
        <f t="shared" si="14"/>
        <v>13.811006773961173</v>
      </c>
      <c r="L150">
        <f t="shared" si="15"/>
        <v>32.49261794517642</v>
      </c>
      <c r="M150">
        <f t="shared" si="16"/>
        <v>7.7033450609711855E-9</v>
      </c>
      <c r="N150">
        <f t="shared" si="17"/>
        <v>0.99999999229665493</v>
      </c>
      <c r="O150">
        <f t="shared" si="18"/>
        <v>0.99999999229665493</v>
      </c>
      <c r="P150">
        <f t="shared" si="19"/>
        <v>-7.7033451026110009E-9</v>
      </c>
    </row>
    <row r="151" spans="1:16" x14ac:dyDescent="0.3">
      <c r="A151" s="2">
        <f t="shared" si="20"/>
        <v>147</v>
      </c>
      <c r="B151" s="2">
        <v>15</v>
      </c>
      <c r="C151" s="2">
        <v>0.8</v>
      </c>
      <c r="D151" s="2">
        <v>20</v>
      </c>
      <c r="E151" s="2">
        <v>1</v>
      </c>
      <c r="F151" s="2">
        <v>45</v>
      </c>
      <c r="G151" s="2">
        <v>1</v>
      </c>
      <c r="H151" s="2">
        <v>40</v>
      </c>
      <c r="I151" s="2">
        <v>1</v>
      </c>
      <c r="J151" s="2">
        <v>0</v>
      </c>
      <c r="K151">
        <f t="shared" si="14"/>
        <v>69.229712134530658</v>
      </c>
      <c r="L151">
        <f t="shared" si="15"/>
        <v>27.627221115419157</v>
      </c>
      <c r="M151">
        <f t="shared" si="16"/>
        <v>1</v>
      </c>
      <c r="N151">
        <f t="shared" si="17"/>
        <v>8.5559397364985929E-19</v>
      </c>
      <c r="O151">
        <f t="shared" si="18"/>
        <v>1</v>
      </c>
      <c r="P151">
        <f t="shared" si="19"/>
        <v>0</v>
      </c>
    </row>
    <row r="152" spans="1:16" x14ac:dyDescent="0.3">
      <c r="A152" s="2">
        <f t="shared" si="20"/>
        <v>148</v>
      </c>
      <c r="B152" s="2">
        <v>20</v>
      </c>
      <c r="C152" s="2">
        <v>0.6</v>
      </c>
      <c r="D152" s="2">
        <v>20</v>
      </c>
      <c r="E152" s="2">
        <v>1</v>
      </c>
      <c r="F152" s="2">
        <v>45</v>
      </c>
      <c r="G152" s="2">
        <v>1</v>
      </c>
      <c r="H152" s="2">
        <v>20</v>
      </c>
      <c r="I152" s="2">
        <v>0</v>
      </c>
      <c r="J152" s="2">
        <v>1</v>
      </c>
      <c r="K152">
        <f t="shared" si="14"/>
        <v>30.396677050700724</v>
      </c>
      <c r="L152">
        <f t="shared" si="15"/>
        <v>32.49261794517642</v>
      </c>
      <c r="M152">
        <f t="shared" si="16"/>
        <v>0.10949197120759167</v>
      </c>
      <c r="N152">
        <f t="shared" si="17"/>
        <v>0.89050802879240831</v>
      </c>
      <c r="O152">
        <f t="shared" si="18"/>
        <v>0.89050802879240831</v>
      </c>
      <c r="P152">
        <f t="shared" si="19"/>
        <v>-0.11596316024319608</v>
      </c>
    </row>
    <row r="153" spans="1:16" x14ac:dyDescent="0.3">
      <c r="A153" s="2">
        <f t="shared" si="20"/>
        <v>149</v>
      </c>
      <c r="B153" s="2">
        <v>15</v>
      </c>
      <c r="C153" s="2">
        <v>0.4</v>
      </c>
      <c r="D153" s="2">
        <v>25</v>
      </c>
      <c r="E153" s="2">
        <v>1</v>
      </c>
      <c r="F153" s="2">
        <v>60</v>
      </c>
      <c r="G153" s="2">
        <v>1</v>
      </c>
      <c r="H153" s="2">
        <v>20</v>
      </c>
      <c r="I153" s="2">
        <v>0</v>
      </c>
      <c r="J153" s="2">
        <v>1</v>
      </c>
      <c r="K153">
        <f t="shared" si="14"/>
        <v>32.302636481616688</v>
      </c>
      <c r="L153">
        <f t="shared" si="15"/>
        <v>43.567658895085373</v>
      </c>
      <c r="M153">
        <f t="shared" si="16"/>
        <v>1.2813192845983381E-5</v>
      </c>
      <c r="N153">
        <f t="shared" si="17"/>
        <v>0.99998718680715404</v>
      </c>
      <c r="O153">
        <f t="shared" si="18"/>
        <v>0.99998718680715404</v>
      </c>
      <c r="P153">
        <f t="shared" si="19"/>
        <v>-1.2813274935618504E-5</v>
      </c>
    </row>
    <row r="154" spans="1:16" x14ac:dyDescent="0.3">
      <c r="A154" s="2">
        <f t="shared" si="20"/>
        <v>150</v>
      </c>
      <c r="B154" s="2">
        <v>15</v>
      </c>
      <c r="C154" s="2">
        <v>0.4</v>
      </c>
      <c r="D154" s="2">
        <v>20</v>
      </c>
      <c r="E154" s="2">
        <v>1</v>
      </c>
      <c r="F154" s="2">
        <v>45</v>
      </c>
      <c r="G154" s="2">
        <v>0.8</v>
      </c>
      <c r="H154" s="2">
        <v>10</v>
      </c>
      <c r="I154" s="2">
        <v>0</v>
      </c>
      <c r="J154" s="2">
        <v>1</v>
      </c>
      <c r="K154">
        <f t="shared" si="14"/>
        <v>13.811006773961173</v>
      </c>
      <c r="L154">
        <f t="shared" si="15"/>
        <v>34.72632581616363</v>
      </c>
      <c r="M154">
        <f t="shared" si="16"/>
        <v>8.2526295831548748E-10</v>
      </c>
      <c r="N154">
        <f t="shared" si="17"/>
        <v>0.99999999917473714</v>
      </c>
      <c r="O154">
        <f t="shared" si="18"/>
        <v>0.99999999917473714</v>
      </c>
      <c r="P154">
        <f t="shared" si="19"/>
        <v>-8.2526285839126422E-10</v>
      </c>
    </row>
    <row r="155" spans="1:16" x14ac:dyDescent="0.3">
      <c r="A155" s="2">
        <f t="shared" si="20"/>
        <v>151</v>
      </c>
      <c r="B155" s="2">
        <v>25</v>
      </c>
      <c r="C155" s="2">
        <v>0.4</v>
      </c>
      <c r="D155" s="2">
        <v>25</v>
      </c>
      <c r="E155" s="2">
        <v>1</v>
      </c>
      <c r="F155" s="2">
        <v>90</v>
      </c>
      <c r="G155" s="2">
        <v>0.9</v>
      </c>
      <c r="H155" s="2">
        <v>10</v>
      </c>
      <c r="I155" s="2">
        <v>0</v>
      </c>
      <c r="J155" s="2">
        <v>1</v>
      </c>
      <c r="K155">
        <f t="shared" si="14"/>
        <v>18.113461434121358</v>
      </c>
      <c r="L155">
        <f t="shared" si="15"/>
        <v>46.199347853855429</v>
      </c>
      <c r="M155">
        <f t="shared" si="16"/>
        <v>6.3453343143037625E-13</v>
      </c>
      <c r="N155">
        <f t="shared" si="17"/>
        <v>0.99999999999936551</v>
      </c>
      <c r="O155">
        <f t="shared" si="18"/>
        <v>0.99999999999936551</v>
      </c>
      <c r="P155">
        <f t="shared" si="19"/>
        <v>-6.344924585734782E-13</v>
      </c>
    </row>
    <row r="156" spans="1:16" x14ac:dyDescent="0.3">
      <c r="A156" s="2">
        <f t="shared" si="20"/>
        <v>152</v>
      </c>
      <c r="B156" s="2">
        <v>20</v>
      </c>
      <c r="C156" s="2">
        <v>0.4</v>
      </c>
      <c r="D156" s="2">
        <v>15</v>
      </c>
      <c r="E156" s="2">
        <v>1</v>
      </c>
      <c r="F156" s="2">
        <v>90</v>
      </c>
      <c r="G156" s="2">
        <v>1</v>
      </c>
      <c r="H156" s="2">
        <v>40</v>
      </c>
      <c r="I156" s="2">
        <v>1</v>
      </c>
      <c r="J156" s="2">
        <v>0</v>
      </c>
      <c r="K156">
        <f t="shared" si="14"/>
        <v>74.947590427278556</v>
      </c>
      <c r="L156">
        <f t="shared" si="15"/>
        <v>27.200837216626923</v>
      </c>
      <c r="M156">
        <f t="shared" si="16"/>
        <v>1</v>
      </c>
      <c r="N156">
        <f t="shared" si="17"/>
        <v>1.8358980130786623E-21</v>
      </c>
      <c r="O156">
        <f t="shared" si="18"/>
        <v>1</v>
      </c>
      <c r="P156">
        <f t="shared" si="19"/>
        <v>0</v>
      </c>
    </row>
    <row r="157" spans="1:16" x14ac:dyDescent="0.3">
      <c r="A157" s="2">
        <f t="shared" si="20"/>
        <v>153</v>
      </c>
      <c r="B157" s="2">
        <v>15</v>
      </c>
      <c r="C157" s="2">
        <v>0.4</v>
      </c>
      <c r="D157" s="2">
        <v>15</v>
      </c>
      <c r="E157" s="2">
        <v>1</v>
      </c>
      <c r="F157" s="2">
        <v>90</v>
      </c>
      <c r="G157" s="2">
        <v>1</v>
      </c>
      <c r="H157" s="2">
        <v>40</v>
      </c>
      <c r="I157" s="2">
        <v>1</v>
      </c>
      <c r="J157" s="2">
        <v>0</v>
      </c>
      <c r="K157">
        <f t="shared" si="14"/>
        <v>74.947590427278556</v>
      </c>
      <c r="L157">
        <f t="shared" si="15"/>
        <v>25.884992737241895</v>
      </c>
      <c r="M157">
        <f t="shared" si="16"/>
        <v>1</v>
      </c>
      <c r="N157">
        <f t="shared" si="17"/>
        <v>4.9247541560870045E-22</v>
      </c>
      <c r="O157">
        <f t="shared" si="18"/>
        <v>1</v>
      </c>
      <c r="P157">
        <f t="shared" si="19"/>
        <v>0</v>
      </c>
    </row>
    <row r="158" spans="1:16" x14ac:dyDescent="0.3">
      <c r="A158" s="2">
        <f t="shared" si="20"/>
        <v>154</v>
      </c>
      <c r="B158" s="2">
        <v>15</v>
      </c>
      <c r="C158" s="2">
        <v>0.4</v>
      </c>
      <c r="D158" s="2">
        <v>15</v>
      </c>
      <c r="E158" s="2">
        <v>1</v>
      </c>
      <c r="F158" s="2">
        <v>60</v>
      </c>
      <c r="G158" s="2">
        <v>0.8</v>
      </c>
      <c r="H158" s="2">
        <v>40</v>
      </c>
      <c r="I158" s="2">
        <v>1</v>
      </c>
      <c r="J158" s="2">
        <v>0</v>
      </c>
      <c r="K158">
        <f t="shared" si="14"/>
        <v>73.96651883062205</v>
      </c>
      <c r="L158">
        <f t="shared" si="15"/>
        <v>25.884992737241895</v>
      </c>
      <c r="M158">
        <f t="shared" si="16"/>
        <v>1</v>
      </c>
      <c r="N158">
        <f t="shared" si="17"/>
        <v>1.3135860756232028E-21</v>
      </c>
      <c r="O158">
        <f t="shared" si="18"/>
        <v>1</v>
      </c>
      <c r="P158">
        <f t="shared" si="19"/>
        <v>0</v>
      </c>
    </row>
    <row r="159" spans="1:16" x14ac:dyDescent="0.3">
      <c r="A159" s="2">
        <f t="shared" si="20"/>
        <v>155</v>
      </c>
      <c r="B159" s="2">
        <v>25</v>
      </c>
      <c r="C159" s="2">
        <v>0.8</v>
      </c>
      <c r="D159" s="2">
        <v>15</v>
      </c>
      <c r="E159" s="2">
        <v>1</v>
      </c>
      <c r="F159" s="2">
        <v>90</v>
      </c>
      <c r="G159" s="2">
        <v>0.9</v>
      </c>
      <c r="H159" s="2">
        <v>40</v>
      </c>
      <c r="I159" s="2">
        <v>1</v>
      </c>
      <c r="J159" s="2">
        <v>0</v>
      </c>
      <c r="K159">
        <f t="shared" si="14"/>
        <v>76.363014059866273</v>
      </c>
      <c r="L159">
        <f t="shared" si="15"/>
        <v>21.417576995267474</v>
      </c>
      <c r="M159">
        <f t="shared" si="16"/>
        <v>1</v>
      </c>
      <c r="N159">
        <f t="shared" si="17"/>
        <v>1.3724605725622088E-24</v>
      </c>
      <c r="O159">
        <f t="shared" si="18"/>
        <v>1</v>
      </c>
      <c r="P159">
        <f t="shared" si="19"/>
        <v>0</v>
      </c>
    </row>
    <row r="160" spans="1:16" x14ac:dyDescent="0.3">
      <c r="A160" s="2">
        <f t="shared" si="20"/>
        <v>156</v>
      </c>
      <c r="B160" s="2">
        <v>15</v>
      </c>
      <c r="C160" s="2">
        <v>0.4</v>
      </c>
      <c r="D160" s="2">
        <v>15</v>
      </c>
      <c r="E160" s="2">
        <v>1</v>
      </c>
      <c r="F160" s="2">
        <v>90</v>
      </c>
      <c r="G160" s="2">
        <v>0.9</v>
      </c>
      <c r="H160" s="2">
        <v>10</v>
      </c>
      <c r="I160" s="2">
        <v>0</v>
      </c>
      <c r="J160" s="2">
        <v>1</v>
      </c>
      <c r="K160">
        <f t="shared" si="14"/>
        <v>18.113461434121358</v>
      </c>
      <c r="L160">
        <f t="shared" si="15"/>
        <v>25.884992737241895</v>
      </c>
      <c r="M160">
        <f t="shared" si="16"/>
        <v>4.2138958104880633E-4</v>
      </c>
      <c r="N160">
        <f t="shared" si="17"/>
        <v>0.99957861041895124</v>
      </c>
      <c r="O160">
        <f t="shared" si="18"/>
        <v>0.99957861041895124</v>
      </c>
      <c r="P160">
        <f t="shared" si="19"/>
        <v>-4.2147839058808648E-4</v>
      </c>
    </row>
    <row r="161" spans="1:16" x14ac:dyDescent="0.3">
      <c r="A161" s="2">
        <f t="shared" si="20"/>
        <v>157</v>
      </c>
      <c r="B161" s="2">
        <v>15</v>
      </c>
      <c r="C161" s="2">
        <v>0.8</v>
      </c>
      <c r="D161" s="2">
        <v>20</v>
      </c>
      <c r="E161" s="2">
        <v>1</v>
      </c>
      <c r="F161" s="2">
        <v>90</v>
      </c>
      <c r="G161" s="2">
        <v>0.8</v>
      </c>
      <c r="H161" s="2">
        <v>40</v>
      </c>
      <c r="I161" s="2">
        <v>1</v>
      </c>
      <c r="J161" s="2">
        <v>0</v>
      </c>
      <c r="K161">
        <f t="shared" si="14"/>
        <v>77.778437692453977</v>
      </c>
      <c r="L161">
        <f t="shared" si="15"/>
        <v>27.627221115419157</v>
      </c>
      <c r="M161">
        <f t="shared" si="16"/>
        <v>1</v>
      </c>
      <c r="N161">
        <f t="shared" si="17"/>
        <v>1.65807197885912E-22</v>
      </c>
      <c r="O161">
        <f t="shared" si="18"/>
        <v>1</v>
      </c>
      <c r="P161">
        <f t="shared" si="19"/>
        <v>0</v>
      </c>
    </row>
    <row r="162" spans="1:16" x14ac:dyDescent="0.3">
      <c r="A162" s="2">
        <f t="shared" si="20"/>
        <v>158</v>
      </c>
      <c r="B162" s="2">
        <v>25</v>
      </c>
      <c r="C162" s="2">
        <v>0.6</v>
      </c>
      <c r="D162" s="2">
        <v>20</v>
      </c>
      <c r="E162" s="2">
        <v>1</v>
      </c>
      <c r="F162" s="2">
        <v>90</v>
      </c>
      <c r="G162" s="2">
        <v>1</v>
      </c>
      <c r="H162" s="2">
        <v>40</v>
      </c>
      <c r="I162" s="2">
        <v>1</v>
      </c>
      <c r="J162" s="2">
        <v>0</v>
      </c>
      <c r="K162">
        <f t="shared" si="14"/>
        <v>74.947590427278556</v>
      </c>
      <c r="L162">
        <f t="shared" si="15"/>
        <v>33.808462424561448</v>
      </c>
      <c r="M162">
        <f t="shared" si="16"/>
        <v>1</v>
      </c>
      <c r="N162">
        <f t="shared" si="17"/>
        <v>1.3598898056062528E-18</v>
      </c>
      <c r="O162">
        <f t="shared" si="18"/>
        <v>1</v>
      </c>
      <c r="P162">
        <f t="shared" si="19"/>
        <v>0</v>
      </c>
    </row>
    <row r="163" spans="1:16" x14ac:dyDescent="0.3">
      <c r="A163" s="2">
        <f t="shared" si="20"/>
        <v>159</v>
      </c>
      <c r="B163" s="2">
        <v>25</v>
      </c>
      <c r="C163" s="2">
        <v>0.6</v>
      </c>
      <c r="D163" s="2">
        <v>25</v>
      </c>
      <c r="E163" s="2">
        <v>1</v>
      </c>
      <c r="F163" s="2">
        <v>45</v>
      </c>
      <c r="G163" s="2">
        <v>0.9</v>
      </c>
      <c r="H163" s="2">
        <v>40</v>
      </c>
      <c r="I163" s="2">
        <v>1</v>
      </c>
      <c r="J163" s="2">
        <v>0</v>
      </c>
      <c r="K163">
        <f t="shared" si="14"/>
        <v>70.645135767118376</v>
      </c>
      <c r="L163">
        <f t="shared" si="15"/>
        <v>42.649795503483197</v>
      </c>
      <c r="M163">
        <f t="shared" si="16"/>
        <v>0.99999999999930533</v>
      </c>
      <c r="N163">
        <f t="shared" si="17"/>
        <v>6.9466945719666519E-13</v>
      </c>
      <c r="O163">
        <f t="shared" si="18"/>
        <v>0.99999999999930533</v>
      </c>
      <c r="P163">
        <f t="shared" si="19"/>
        <v>-6.9466654650820178E-13</v>
      </c>
    </row>
    <row r="164" spans="1:16" x14ac:dyDescent="0.3">
      <c r="A164" s="2">
        <f t="shared" si="20"/>
        <v>160</v>
      </c>
      <c r="B164" s="2">
        <v>20</v>
      </c>
      <c r="C164" s="2">
        <v>0.4</v>
      </c>
      <c r="D164" s="2">
        <v>20</v>
      </c>
      <c r="E164" s="2">
        <v>1</v>
      </c>
      <c r="F164" s="2">
        <v>45</v>
      </c>
      <c r="G164" s="2">
        <v>1</v>
      </c>
      <c r="H164" s="2">
        <v>10</v>
      </c>
      <c r="I164" s="2">
        <v>0</v>
      </c>
      <c r="J164" s="2">
        <v>1</v>
      </c>
      <c r="K164">
        <f t="shared" si="14"/>
        <v>10.980159508785752</v>
      </c>
      <c r="L164">
        <f t="shared" si="15"/>
        <v>36.042170295548658</v>
      </c>
      <c r="M164">
        <f t="shared" si="16"/>
        <v>1.3052899971927976E-11</v>
      </c>
      <c r="N164">
        <f t="shared" si="17"/>
        <v>0.99999999998694711</v>
      </c>
      <c r="O164">
        <f t="shared" si="18"/>
        <v>0.99999999998694711</v>
      </c>
      <c r="P164">
        <f t="shared" si="19"/>
        <v>-1.3052892100603154E-11</v>
      </c>
    </row>
    <row r="165" spans="1:16" x14ac:dyDescent="0.3">
      <c r="A165" s="2">
        <f t="shared" si="20"/>
        <v>161</v>
      </c>
      <c r="B165" s="2">
        <v>20</v>
      </c>
      <c r="C165" s="2">
        <v>0.4</v>
      </c>
      <c r="D165" s="2">
        <v>15</v>
      </c>
      <c r="E165" s="2">
        <v>1</v>
      </c>
      <c r="F165" s="2">
        <v>90</v>
      </c>
      <c r="G165" s="2">
        <v>0.9</v>
      </c>
      <c r="H165" s="2">
        <v>40</v>
      </c>
      <c r="I165" s="2">
        <v>1</v>
      </c>
      <c r="J165" s="2">
        <v>0</v>
      </c>
      <c r="K165">
        <f t="shared" si="14"/>
        <v>76.363014059866273</v>
      </c>
      <c r="L165">
        <f t="shared" si="15"/>
        <v>27.200837216626923</v>
      </c>
      <c r="M165">
        <f t="shared" si="16"/>
        <v>1</v>
      </c>
      <c r="N165">
        <f t="shared" si="17"/>
        <v>4.4579775659113734E-22</v>
      </c>
      <c r="O165">
        <f t="shared" si="18"/>
        <v>1</v>
      </c>
      <c r="P165">
        <f t="shared" si="19"/>
        <v>0</v>
      </c>
    </row>
    <row r="166" spans="1:16" x14ac:dyDescent="0.3">
      <c r="A166" s="2">
        <f t="shared" si="20"/>
        <v>162</v>
      </c>
      <c r="B166" s="2">
        <v>15</v>
      </c>
      <c r="C166" s="2">
        <v>0.4</v>
      </c>
      <c r="D166" s="2">
        <v>20</v>
      </c>
      <c r="E166" s="2">
        <v>1</v>
      </c>
      <c r="F166" s="2">
        <v>90</v>
      </c>
      <c r="G166" s="2">
        <v>0.9</v>
      </c>
      <c r="H166" s="2">
        <v>40</v>
      </c>
      <c r="I166" s="2">
        <v>1</v>
      </c>
      <c r="J166" s="2">
        <v>0</v>
      </c>
      <c r="K166">
        <f t="shared" si="14"/>
        <v>76.363014059866273</v>
      </c>
      <c r="L166">
        <f t="shared" si="15"/>
        <v>34.72632581616363</v>
      </c>
      <c r="M166">
        <f t="shared" si="16"/>
        <v>1</v>
      </c>
      <c r="N166">
        <f t="shared" si="17"/>
        <v>8.2682966724458374E-19</v>
      </c>
      <c r="O166">
        <f t="shared" si="18"/>
        <v>1</v>
      </c>
      <c r="P166">
        <f t="shared" si="19"/>
        <v>0</v>
      </c>
    </row>
    <row r="167" spans="1:16" x14ac:dyDescent="0.3">
      <c r="A167" s="2">
        <f t="shared" si="20"/>
        <v>163</v>
      </c>
      <c r="B167" s="2">
        <v>25</v>
      </c>
      <c r="C167" s="2">
        <v>0.8</v>
      </c>
      <c r="D167" s="2">
        <v>15</v>
      </c>
      <c r="E167" s="2">
        <v>1</v>
      </c>
      <c r="F167" s="2">
        <v>90</v>
      </c>
      <c r="G167" s="2">
        <v>0.9</v>
      </c>
      <c r="H167" s="2">
        <v>10</v>
      </c>
      <c r="I167" s="2">
        <v>0</v>
      </c>
      <c r="J167" s="2">
        <v>1</v>
      </c>
      <c r="K167">
        <f t="shared" si="14"/>
        <v>18.113461434121358</v>
      </c>
      <c r="L167">
        <f t="shared" si="15"/>
        <v>21.417576995267474</v>
      </c>
      <c r="M167">
        <f t="shared" si="16"/>
        <v>3.5430270875025989E-2</v>
      </c>
      <c r="N167">
        <f t="shared" si="17"/>
        <v>0.96456972912497407</v>
      </c>
      <c r="O167">
        <f t="shared" si="18"/>
        <v>0.96456972912497407</v>
      </c>
      <c r="P167">
        <f t="shared" si="19"/>
        <v>-3.6073153630090546E-2</v>
      </c>
    </row>
    <row r="168" spans="1:16" x14ac:dyDescent="0.3">
      <c r="A168" s="2">
        <f t="shared" si="20"/>
        <v>164</v>
      </c>
      <c r="B168" s="2">
        <v>20</v>
      </c>
      <c r="C168" s="2">
        <v>0.6</v>
      </c>
      <c r="D168" s="2">
        <v>25</v>
      </c>
      <c r="E168" s="2">
        <v>1</v>
      </c>
      <c r="F168" s="2">
        <v>45</v>
      </c>
      <c r="G168" s="2">
        <v>1</v>
      </c>
      <c r="H168" s="2">
        <v>10</v>
      </c>
      <c r="I168" s="2">
        <v>0</v>
      </c>
      <c r="J168" s="2">
        <v>1</v>
      </c>
      <c r="K168">
        <f t="shared" si="14"/>
        <v>10.980159508785752</v>
      </c>
      <c r="L168">
        <f t="shared" si="15"/>
        <v>41.33395102409817</v>
      </c>
      <c r="M168">
        <f t="shared" si="16"/>
        <v>6.5692507612117899E-14</v>
      </c>
      <c r="N168">
        <f t="shared" si="17"/>
        <v>0.99999999999993427</v>
      </c>
      <c r="O168">
        <f t="shared" si="18"/>
        <v>0.99999999999993427</v>
      </c>
      <c r="P168">
        <f t="shared" si="19"/>
        <v>-6.5725203057811426E-14</v>
      </c>
    </row>
    <row r="169" spans="1:16" x14ac:dyDescent="0.3">
      <c r="A169" s="2">
        <f t="shared" si="20"/>
        <v>165</v>
      </c>
      <c r="B169" s="2">
        <v>15</v>
      </c>
      <c r="C169" s="2">
        <v>0.8</v>
      </c>
      <c r="D169" s="2">
        <v>25</v>
      </c>
      <c r="E169" s="2">
        <v>1</v>
      </c>
      <c r="F169" s="2">
        <v>60</v>
      </c>
      <c r="G169" s="2">
        <v>1</v>
      </c>
      <c r="H169" s="2">
        <v>10</v>
      </c>
      <c r="I169" s="2">
        <v>0</v>
      </c>
      <c r="J169" s="2">
        <v>1</v>
      </c>
      <c r="K169">
        <f t="shared" si="14"/>
        <v>12.886118939701717</v>
      </c>
      <c r="L169">
        <f t="shared" si="15"/>
        <v>36.468554194340904</v>
      </c>
      <c r="M169">
        <f t="shared" si="16"/>
        <v>5.7316346440598625E-11</v>
      </c>
      <c r="N169">
        <f t="shared" si="17"/>
        <v>0.99999999994268363</v>
      </c>
      <c r="O169">
        <f t="shared" si="18"/>
        <v>0.99999999994268363</v>
      </c>
      <c r="P169">
        <f t="shared" si="19"/>
        <v>-5.7316373870940912E-11</v>
      </c>
    </row>
    <row r="170" spans="1:16" x14ac:dyDescent="0.3">
      <c r="A170" s="2">
        <f t="shared" si="20"/>
        <v>166</v>
      </c>
      <c r="B170" s="2">
        <v>25</v>
      </c>
      <c r="C170" s="2">
        <v>0.8</v>
      </c>
      <c r="D170" s="2">
        <v>15</v>
      </c>
      <c r="E170" s="2">
        <v>1</v>
      </c>
      <c r="F170" s="2">
        <v>90</v>
      </c>
      <c r="G170" s="2">
        <v>0.8</v>
      </c>
      <c r="H170" s="2">
        <v>10</v>
      </c>
      <c r="I170" s="2">
        <v>0</v>
      </c>
      <c r="J170" s="2">
        <v>1</v>
      </c>
      <c r="K170">
        <f t="shared" si="14"/>
        <v>19.528885066709069</v>
      </c>
      <c r="L170">
        <f t="shared" si="15"/>
        <v>21.417576995267474</v>
      </c>
      <c r="M170">
        <f t="shared" si="16"/>
        <v>0.13139368686042902</v>
      </c>
      <c r="N170">
        <f t="shared" si="17"/>
        <v>0.86860631313957104</v>
      </c>
      <c r="O170">
        <f t="shared" si="18"/>
        <v>0.86860631313957104</v>
      </c>
      <c r="P170">
        <f t="shared" si="19"/>
        <v>-0.14086529072964415</v>
      </c>
    </row>
    <row r="171" spans="1:16" x14ac:dyDescent="0.3">
      <c r="A171" s="2">
        <f t="shared" si="20"/>
        <v>167</v>
      </c>
      <c r="B171" s="2">
        <v>15</v>
      </c>
      <c r="C171" s="2">
        <v>0.6</v>
      </c>
      <c r="D171" s="2">
        <v>20</v>
      </c>
      <c r="E171" s="2">
        <v>1</v>
      </c>
      <c r="F171" s="2">
        <v>60</v>
      </c>
      <c r="G171" s="2">
        <v>0.9</v>
      </c>
      <c r="H171" s="2">
        <v>10</v>
      </c>
      <c r="I171" s="2">
        <v>0</v>
      </c>
      <c r="J171" s="2">
        <v>1</v>
      </c>
      <c r="K171">
        <f t="shared" si="14"/>
        <v>14.301542572289428</v>
      </c>
      <c r="L171">
        <f t="shared" si="15"/>
        <v>31.176773465791396</v>
      </c>
      <c r="M171">
        <f t="shared" si="16"/>
        <v>4.6900807676141217E-8</v>
      </c>
      <c r="N171">
        <f t="shared" si="17"/>
        <v>0.99999995309919232</v>
      </c>
      <c r="O171">
        <f t="shared" si="18"/>
        <v>0.99999995309919232</v>
      </c>
      <c r="P171">
        <f t="shared" si="19"/>
        <v>-4.6900808781836142E-8</v>
      </c>
    </row>
    <row r="172" spans="1:16" x14ac:dyDescent="0.3">
      <c r="A172" s="2">
        <f t="shared" si="20"/>
        <v>168</v>
      </c>
      <c r="B172" s="2">
        <v>20</v>
      </c>
      <c r="C172" s="2">
        <v>0.8</v>
      </c>
      <c r="D172" s="2">
        <v>20</v>
      </c>
      <c r="E172" s="2">
        <v>1</v>
      </c>
      <c r="F172" s="2">
        <v>60</v>
      </c>
      <c r="G172" s="2">
        <v>0.8</v>
      </c>
      <c r="H172" s="2">
        <v>40</v>
      </c>
      <c r="I172" s="2">
        <v>1</v>
      </c>
      <c r="J172" s="2">
        <v>0</v>
      </c>
      <c r="K172">
        <f t="shared" si="14"/>
        <v>73.96651883062205</v>
      </c>
      <c r="L172">
        <f t="shared" si="15"/>
        <v>28.943065594804185</v>
      </c>
      <c r="M172">
        <f t="shared" si="16"/>
        <v>1</v>
      </c>
      <c r="N172">
        <f t="shared" si="17"/>
        <v>2.7961644087709379E-20</v>
      </c>
      <c r="O172">
        <f t="shared" si="18"/>
        <v>1</v>
      </c>
      <c r="P172">
        <f t="shared" si="19"/>
        <v>0</v>
      </c>
    </row>
    <row r="173" spans="1:16" x14ac:dyDescent="0.3">
      <c r="A173" s="2">
        <f t="shared" si="20"/>
        <v>169</v>
      </c>
      <c r="B173" s="2">
        <v>25</v>
      </c>
      <c r="C173" s="2">
        <v>0.4</v>
      </c>
      <c r="D173" s="2">
        <v>20</v>
      </c>
      <c r="E173" s="2">
        <v>1</v>
      </c>
      <c r="F173" s="2">
        <v>60</v>
      </c>
      <c r="G173" s="2">
        <v>0.9</v>
      </c>
      <c r="H173" s="2">
        <v>40</v>
      </c>
      <c r="I173" s="2">
        <v>1</v>
      </c>
      <c r="J173" s="2">
        <v>0</v>
      </c>
      <c r="K173">
        <f t="shared" si="14"/>
        <v>72.551095198034346</v>
      </c>
      <c r="L173">
        <f t="shared" si="15"/>
        <v>37.358014774933686</v>
      </c>
      <c r="M173">
        <f t="shared" si="16"/>
        <v>0.99999999999999944</v>
      </c>
      <c r="N173">
        <f t="shared" si="17"/>
        <v>5.198037054515715E-16</v>
      </c>
      <c r="O173">
        <f t="shared" si="18"/>
        <v>0.99999999999999944</v>
      </c>
      <c r="P173">
        <f t="shared" si="19"/>
        <v>-5.5511151231257847E-16</v>
      </c>
    </row>
    <row r="174" spans="1:16" x14ac:dyDescent="0.3">
      <c r="A174" s="2">
        <f t="shared" si="20"/>
        <v>170</v>
      </c>
      <c r="B174" s="2">
        <v>20</v>
      </c>
      <c r="C174" s="2">
        <v>0.8</v>
      </c>
      <c r="D174" s="2">
        <v>25</v>
      </c>
      <c r="E174" s="2">
        <v>1</v>
      </c>
      <c r="F174" s="2">
        <v>60</v>
      </c>
      <c r="G174" s="2">
        <v>0.9</v>
      </c>
      <c r="H174" s="2">
        <v>10</v>
      </c>
      <c r="I174" s="2">
        <v>0</v>
      </c>
      <c r="J174" s="2">
        <v>1</v>
      </c>
      <c r="K174">
        <f t="shared" si="14"/>
        <v>14.301542572289428</v>
      </c>
      <c r="L174">
        <f t="shared" si="15"/>
        <v>37.784398673725924</v>
      </c>
      <c r="M174">
        <f t="shared" si="16"/>
        <v>6.3317706554151442E-11</v>
      </c>
      <c r="N174">
        <f t="shared" si="17"/>
        <v>0.99999999993668232</v>
      </c>
      <c r="O174">
        <f t="shared" si="18"/>
        <v>0.99999999993668232</v>
      </c>
      <c r="P174">
        <f t="shared" si="19"/>
        <v>-6.3317684430914184E-11</v>
      </c>
    </row>
    <row r="175" spans="1:16" x14ac:dyDescent="0.3">
      <c r="A175" s="2">
        <f t="shared" si="20"/>
        <v>171</v>
      </c>
      <c r="B175" s="2">
        <v>25</v>
      </c>
      <c r="C175" s="2">
        <v>0.4</v>
      </c>
      <c r="D175" s="2">
        <v>25</v>
      </c>
      <c r="E175" s="2">
        <v>1</v>
      </c>
      <c r="F175" s="2">
        <v>45</v>
      </c>
      <c r="G175" s="2">
        <v>1</v>
      </c>
      <c r="H175" s="2">
        <v>20</v>
      </c>
      <c r="I175" s="2">
        <v>0</v>
      </c>
      <c r="J175" s="2">
        <v>1</v>
      </c>
      <c r="K175">
        <f t="shared" si="14"/>
        <v>30.396677050700724</v>
      </c>
      <c r="L175">
        <f t="shared" si="15"/>
        <v>46.199347853855429</v>
      </c>
      <c r="M175">
        <f t="shared" si="16"/>
        <v>1.3708413983754415E-7</v>
      </c>
      <c r="N175">
        <f t="shared" si="17"/>
        <v>0.99999986291586018</v>
      </c>
      <c r="O175">
        <f t="shared" si="18"/>
        <v>0.99999986291586018</v>
      </c>
      <c r="P175">
        <f t="shared" si="19"/>
        <v>-1.3708414921342099E-7</v>
      </c>
    </row>
    <row r="176" spans="1:16" x14ac:dyDescent="0.3">
      <c r="A176" s="2">
        <f t="shared" si="20"/>
        <v>172</v>
      </c>
      <c r="B176" s="2">
        <v>20</v>
      </c>
      <c r="C176" s="2">
        <v>0.6</v>
      </c>
      <c r="D176" s="2">
        <v>20</v>
      </c>
      <c r="E176" s="2">
        <v>1</v>
      </c>
      <c r="F176" s="2">
        <v>90</v>
      </c>
      <c r="G176" s="2">
        <v>0.8</v>
      </c>
      <c r="H176" s="2">
        <v>40</v>
      </c>
      <c r="I176" s="2">
        <v>1</v>
      </c>
      <c r="J176" s="2">
        <v>0</v>
      </c>
      <c r="K176">
        <f t="shared" si="14"/>
        <v>77.778437692453977</v>
      </c>
      <c r="L176">
        <f t="shared" si="15"/>
        <v>32.49261794517642</v>
      </c>
      <c r="M176">
        <f t="shared" si="16"/>
        <v>1</v>
      </c>
      <c r="N176">
        <f t="shared" si="17"/>
        <v>2.1508908660141351E-20</v>
      </c>
      <c r="O176">
        <f t="shared" si="18"/>
        <v>1</v>
      </c>
      <c r="P176">
        <f t="shared" si="19"/>
        <v>0</v>
      </c>
    </row>
    <row r="177" spans="1:16" x14ac:dyDescent="0.3">
      <c r="A177" s="2">
        <f t="shared" si="20"/>
        <v>173</v>
      </c>
      <c r="B177" s="2">
        <v>15</v>
      </c>
      <c r="C177" s="2">
        <v>0.4</v>
      </c>
      <c r="D177" s="2">
        <v>20</v>
      </c>
      <c r="E177" s="2">
        <v>1</v>
      </c>
      <c r="F177" s="2">
        <v>60</v>
      </c>
      <c r="G177" s="2">
        <v>1</v>
      </c>
      <c r="H177" s="2">
        <v>20</v>
      </c>
      <c r="I177" s="2">
        <v>0</v>
      </c>
      <c r="J177" s="2">
        <v>1</v>
      </c>
      <c r="K177">
        <f t="shared" si="14"/>
        <v>32.302636481616688</v>
      </c>
      <c r="L177">
        <f t="shared" si="15"/>
        <v>34.72632581616363</v>
      </c>
      <c r="M177">
        <f t="shared" si="16"/>
        <v>8.1384012074691606E-2</v>
      </c>
      <c r="N177">
        <f t="shared" si="17"/>
        <v>0.9186159879253083</v>
      </c>
      <c r="O177">
        <f t="shared" si="18"/>
        <v>0.9186159879253083</v>
      </c>
      <c r="P177">
        <f t="shared" si="19"/>
        <v>-8.4887102576860621E-2</v>
      </c>
    </row>
    <row r="178" spans="1:16" x14ac:dyDescent="0.3">
      <c r="A178" s="2">
        <f t="shared" si="20"/>
        <v>174</v>
      </c>
      <c r="B178" s="2">
        <v>25</v>
      </c>
      <c r="C178" s="2">
        <v>0.8</v>
      </c>
      <c r="D178" s="2">
        <v>20</v>
      </c>
      <c r="E178" s="2">
        <v>1</v>
      </c>
      <c r="F178" s="2">
        <v>45</v>
      </c>
      <c r="G178" s="2">
        <v>0.9</v>
      </c>
      <c r="H178" s="2">
        <v>10</v>
      </c>
      <c r="I178" s="2">
        <v>0</v>
      </c>
      <c r="J178" s="2">
        <v>1</v>
      </c>
      <c r="K178">
        <f t="shared" si="14"/>
        <v>12.395583141373463</v>
      </c>
      <c r="L178">
        <f t="shared" si="15"/>
        <v>30.258910074189213</v>
      </c>
      <c r="M178">
        <f t="shared" si="16"/>
        <v>1.7460459837132842E-8</v>
      </c>
      <c r="N178">
        <f t="shared" si="17"/>
        <v>0.99999998253954014</v>
      </c>
      <c r="O178">
        <f t="shared" si="18"/>
        <v>0.99999998253954014</v>
      </c>
      <c r="P178">
        <f t="shared" si="19"/>
        <v>-1.7460460008167578E-8</v>
      </c>
    </row>
    <row r="179" spans="1:16" x14ac:dyDescent="0.3">
      <c r="A179" s="2">
        <f t="shared" si="20"/>
        <v>175</v>
      </c>
      <c r="B179" s="2">
        <v>20</v>
      </c>
      <c r="C179" s="2">
        <v>0.6</v>
      </c>
      <c r="D179" s="2">
        <v>15</v>
      </c>
      <c r="E179" s="2">
        <v>1</v>
      </c>
      <c r="F179" s="2">
        <v>45</v>
      </c>
      <c r="G179" s="2">
        <v>0.8</v>
      </c>
      <c r="H179" s="2">
        <v>20</v>
      </c>
      <c r="I179" s="2">
        <v>1</v>
      </c>
      <c r="J179" s="2">
        <v>0</v>
      </c>
      <c r="K179">
        <f t="shared" si="14"/>
        <v>33.227524315876146</v>
      </c>
      <c r="L179">
        <f t="shared" si="15"/>
        <v>23.651284866254684</v>
      </c>
      <c r="M179">
        <f t="shared" si="16"/>
        <v>0.99993064753063088</v>
      </c>
      <c r="N179">
        <f t="shared" si="17"/>
        <v>6.9352469369135501E-5</v>
      </c>
      <c r="O179">
        <f t="shared" si="18"/>
        <v>0.99993064753063088</v>
      </c>
      <c r="P179">
        <f t="shared" si="19"/>
        <v>-6.935487436282093E-5</v>
      </c>
    </row>
    <row r="180" spans="1:16" x14ac:dyDescent="0.3">
      <c r="A180" s="2">
        <f t="shared" si="20"/>
        <v>176</v>
      </c>
      <c r="B180" s="2">
        <v>15</v>
      </c>
      <c r="C180" s="2">
        <v>0.6</v>
      </c>
      <c r="D180" s="2">
        <v>25</v>
      </c>
      <c r="E180" s="2">
        <v>1</v>
      </c>
      <c r="F180" s="2">
        <v>90</v>
      </c>
      <c r="G180" s="2">
        <v>0.9</v>
      </c>
      <c r="H180" s="2">
        <v>20</v>
      </c>
      <c r="I180" s="2">
        <v>0</v>
      </c>
      <c r="J180" s="2">
        <v>1</v>
      </c>
      <c r="K180">
        <f t="shared" si="14"/>
        <v>37.529978976036332</v>
      </c>
      <c r="L180">
        <f t="shared" si="15"/>
        <v>40.018106544713142</v>
      </c>
      <c r="M180">
        <f t="shared" si="16"/>
        <v>7.669468405088832E-2</v>
      </c>
      <c r="N180">
        <f t="shared" si="17"/>
        <v>0.92330531594911158</v>
      </c>
      <c r="O180">
        <f t="shared" si="18"/>
        <v>0.92330531594911158</v>
      </c>
      <c r="P180">
        <f t="shared" si="19"/>
        <v>-7.9795312666667353E-2</v>
      </c>
    </row>
    <row r="181" spans="1:16" x14ac:dyDescent="0.3">
      <c r="A181" s="2">
        <f t="shared" si="20"/>
        <v>177</v>
      </c>
      <c r="B181" s="2">
        <v>20</v>
      </c>
      <c r="C181" s="2">
        <v>0.4</v>
      </c>
      <c r="D181" s="2">
        <v>20</v>
      </c>
      <c r="E181" s="2">
        <v>1</v>
      </c>
      <c r="F181" s="2">
        <v>90</v>
      </c>
      <c r="G181" s="2">
        <v>1</v>
      </c>
      <c r="H181" s="2">
        <v>10</v>
      </c>
      <c r="I181" s="2">
        <v>0</v>
      </c>
      <c r="J181" s="2">
        <v>1</v>
      </c>
      <c r="K181">
        <f t="shared" si="14"/>
        <v>16.698037801533648</v>
      </c>
      <c r="L181">
        <f t="shared" si="15"/>
        <v>36.042170295548658</v>
      </c>
      <c r="M181">
        <f t="shared" si="16"/>
        <v>3.9714582274619936E-9</v>
      </c>
      <c r="N181">
        <f t="shared" si="17"/>
        <v>0.99999999602854184</v>
      </c>
      <c r="O181">
        <f t="shared" si="18"/>
        <v>0.99999999602854184</v>
      </c>
      <c r="P181">
        <f t="shared" si="19"/>
        <v>-3.971458170219148E-9</v>
      </c>
    </row>
    <row r="182" spans="1:16" x14ac:dyDescent="0.3">
      <c r="A182" s="2">
        <f t="shared" si="20"/>
        <v>178</v>
      </c>
      <c r="B182" s="2">
        <v>25</v>
      </c>
      <c r="C182" s="2">
        <v>0.4</v>
      </c>
      <c r="D182" s="2">
        <v>15</v>
      </c>
      <c r="E182" s="2">
        <v>1</v>
      </c>
      <c r="F182" s="2">
        <v>60</v>
      </c>
      <c r="G182" s="2">
        <v>0.8</v>
      </c>
      <c r="H182" s="2">
        <v>40</v>
      </c>
      <c r="I182" s="2">
        <v>1</v>
      </c>
      <c r="J182" s="2">
        <v>0</v>
      </c>
      <c r="K182">
        <f t="shared" si="14"/>
        <v>73.96651883062205</v>
      </c>
      <c r="L182">
        <f t="shared" si="15"/>
        <v>28.51668169601195</v>
      </c>
      <c r="M182">
        <f t="shared" si="16"/>
        <v>1</v>
      </c>
      <c r="N182">
        <f t="shared" si="17"/>
        <v>1.8255197212701035E-20</v>
      </c>
      <c r="O182">
        <f t="shared" si="18"/>
        <v>1</v>
      </c>
      <c r="P182">
        <f t="shared" si="19"/>
        <v>0</v>
      </c>
    </row>
    <row r="183" spans="1:16" x14ac:dyDescent="0.3">
      <c r="A183" s="2">
        <f t="shared" si="20"/>
        <v>179</v>
      </c>
      <c r="B183" s="2">
        <v>15</v>
      </c>
      <c r="C183" s="2">
        <v>0.8</v>
      </c>
      <c r="D183" s="2">
        <v>15</v>
      </c>
      <c r="E183" s="2">
        <v>1</v>
      </c>
      <c r="F183" s="2">
        <v>60</v>
      </c>
      <c r="G183" s="2">
        <v>0.8</v>
      </c>
      <c r="H183" s="2">
        <v>20</v>
      </c>
      <c r="I183" s="2">
        <v>1</v>
      </c>
      <c r="J183" s="2">
        <v>0</v>
      </c>
      <c r="K183">
        <f t="shared" si="14"/>
        <v>35.133483746792109</v>
      </c>
      <c r="L183">
        <f t="shared" si="15"/>
        <v>18.785888036497418</v>
      </c>
      <c r="M183">
        <f t="shared" si="16"/>
        <v>0.99999992050691411</v>
      </c>
      <c r="N183">
        <f t="shared" si="17"/>
        <v>7.9493085827801143E-8</v>
      </c>
      <c r="O183">
        <f t="shared" si="18"/>
        <v>0.99999992050691411</v>
      </c>
      <c r="P183">
        <f t="shared" si="19"/>
        <v>-7.9493089051188717E-8</v>
      </c>
    </row>
    <row r="184" spans="1:16" x14ac:dyDescent="0.3">
      <c r="A184" s="2">
        <f t="shared" si="20"/>
        <v>180</v>
      </c>
      <c r="B184" s="2">
        <v>15</v>
      </c>
      <c r="C184" s="2">
        <v>0.8</v>
      </c>
      <c r="D184" s="2">
        <v>15</v>
      </c>
      <c r="E184" s="2">
        <v>1</v>
      </c>
      <c r="F184" s="2">
        <v>90</v>
      </c>
      <c r="G184" s="2">
        <v>0.9</v>
      </c>
      <c r="H184" s="2">
        <v>40</v>
      </c>
      <c r="I184" s="2">
        <v>1</v>
      </c>
      <c r="J184" s="2">
        <v>0</v>
      </c>
      <c r="K184">
        <f t="shared" si="14"/>
        <v>76.363014059866273</v>
      </c>
      <c r="L184">
        <f t="shared" si="15"/>
        <v>18.785888036497418</v>
      </c>
      <c r="M184">
        <f t="shared" si="16"/>
        <v>1</v>
      </c>
      <c r="N184">
        <f t="shared" si="17"/>
        <v>9.875790858097322E-26</v>
      </c>
      <c r="O184">
        <f t="shared" si="18"/>
        <v>1</v>
      </c>
      <c r="P184">
        <f t="shared" si="19"/>
        <v>0</v>
      </c>
    </row>
    <row r="185" spans="1:16" x14ac:dyDescent="0.3">
      <c r="A185" s="2">
        <f t="shared" si="20"/>
        <v>181</v>
      </c>
      <c r="B185" s="2">
        <v>15</v>
      </c>
      <c r="C185" s="2">
        <v>0.6</v>
      </c>
      <c r="D185" s="2">
        <v>15</v>
      </c>
      <c r="E185" s="2">
        <v>1</v>
      </c>
      <c r="F185" s="2">
        <v>45</v>
      </c>
      <c r="G185" s="2">
        <v>1</v>
      </c>
      <c r="H185" s="2">
        <v>40</v>
      </c>
      <c r="I185" s="2">
        <v>1</v>
      </c>
      <c r="J185" s="2">
        <v>0</v>
      </c>
      <c r="K185">
        <f t="shared" si="14"/>
        <v>69.229712134530658</v>
      </c>
      <c r="L185">
        <f t="shared" si="15"/>
        <v>22.335440386869656</v>
      </c>
      <c r="M185">
        <f t="shared" si="16"/>
        <v>1</v>
      </c>
      <c r="N185">
        <f t="shared" si="17"/>
        <v>4.3060250018788979E-21</v>
      </c>
      <c r="O185">
        <f t="shared" si="18"/>
        <v>1</v>
      </c>
      <c r="P185">
        <f t="shared" si="19"/>
        <v>0</v>
      </c>
    </row>
    <row r="186" spans="1:16" x14ac:dyDescent="0.3">
      <c r="A186" s="2">
        <f t="shared" si="20"/>
        <v>182</v>
      </c>
      <c r="B186" s="2">
        <v>15</v>
      </c>
      <c r="C186" s="2">
        <v>0.6</v>
      </c>
      <c r="D186" s="2">
        <v>25</v>
      </c>
      <c r="E186" s="2">
        <v>1</v>
      </c>
      <c r="F186" s="2">
        <v>60</v>
      </c>
      <c r="G186" s="2">
        <v>1</v>
      </c>
      <c r="H186" s="2">
        <v>40</v>
      </c>
      <c r="I186" s="2">
        <v>1</v>
      </c>
      <c r="J186" s="2">
        <v>0</v>
      </c>
      <c r="K186">
        <f t="shared" si="14"/>
        <v>71.135671565446629</v>
      </c>
      <c r="L186">
        <f t="shared" si="15"/>
        <v>40.018106544713142</v>
      </c>
      <c r="M186">
        <f t="shared" si="16"/>
        <v>0.99999999999996936</v>
      </c>
      <c r="N186">
        <f t="shared" si="17"/>
        <v>3.0606468459275854E-14</v>
      </c>
      <c r="O186">
        <f t="shared" si="18"/>
        <v>0.99999999999996936</v>
      </c>
      <c r="P186">
        <f t="shared" si="19"/>
        <v>-3.0642155479654788E-14</v>
      </c>
    </row>
    <row r="187" spans="1:16" x14ac:dyDescent="0.3">
      <c r="A187" s="2">
        <f t="shared" si="20"/>
        <v>183</v>
      </c>
      <c r="B187" s="2">
        <v>20</v>
      </c>
      <c r="C187" s="2">
        <v>0.8</v>
      </c>
      <c r="D187" s="2">
        <v>15</v>
      </c>
      <c r="E187" s="2">
        <v>1</v>
      </c>
      <c r="F187" s="2">
        <v>60</v>
      </c>
      <c r="G187" s="2">
        <v>0.9</v>
      </c>
      <c r="H187" s="2">
        <v>20</v>
      </c>
      <c r="I187" s="2">
        <v>1</v>
      </c>
      <c r="J187" s="2">
        <v>0</v>
      </c>
      <c r="K187">
        <f t="shared" si="14"/>
        <v>33.718060114204398</v>
      </c>
      <c r="L187">
        <f t="shared" si="15"/>
        <v>20.101732515882446</v>
      </c>
      <c r="M187">
        <f t="shared" si="16"/>
        <v>0.99999877959625894</v>
      </c>
      <c r="N187">
        <f t="shared" si="17"/>
        <v>1.2204037409923844E-6</v>
      </c>
      <c r="O187">
        <f t="shared" si="18"/>
        <v>0.99999877959625894</v>
      </c>
      <c r="P187">
        <f t="shared" si="19"/>
        <v>-1.2204044857578311E-6</v>
      </c>
    </row>
    <row r="188" spans="1:16" x14ac:dyDescent="0.3">
      <c r="A188" s="2">
        <f t="shared" si="20"/>
        <v>184</v>
      </c>
      <c r="B188" s="2">
        <v>25</v>
      </c>
      <c r="C188" s="2">
        <v>0.8</v>
      </c>
      <c r="D188" s="2">
        <v>15</v>
      </c>
      <c r="E188" s="2">
        <v>1</v>
      </c>
      <c r="F188" s="2">
        <v>90</v>
      </c>
      <c r="G188" s="2">
        <v>0.9</v>
      </c>
      <c r="H188" s="2">
        <v>10</v>
      </c>
      <c r="I188" s="2">
        <v>0</v>
      </c>
      <c r="J188" s="2">
        <v>1</v>
      </c>
      <c r="K188">
        <f t="shared" si="14"/>
        <v>18.113461434121358</v>
      </c>
      <c r="L188">
        <f t="shared" si="15"/>
        <v>21.417576995267474</v>
      </c>
      <c r="M188">
        <f t="shared" si="16"/>
        <v>3.5430270875025989E-2</v>
      </c>
      <c r="N188">
        <f t="shared" si="17"/>
        <v>0.96456972912497407</v>
      </c>
      <c r="O188">
        <f t="shared" si="18"/>
        <v>0.96456972912497407</v>
      </c>
      <c r="P188">
        <f t="shared" si="19"/>
        <v>-3.6073153630090546E-2</v>
      </c>
    </row>
    <row r="189" spans="1:16" x14ac:dyDescent="0.3">
      <c r="A189" s="2">
        <f t="shared" si="20"/>
        <v>185</v>
      </c>
      <c r="B189" s="2">
        <v>25</v>
      </c>
      <c r="C189" s="2">
        <v>0.4</v>
      </c>
      <c r="D189" s="2">
        <v>15</v>
      </c>
      <c r="E189" s="2">
        <v>1</v>
      </c>
      <c r="F189" s="2">
        <v>90</v>
      </c>
      <c r="G189" s="2">
        <v>0.9</v>
      </c>
      <c r="H189" s="2">
        <v>20</v>
      </c>
      <c r="I189" s="2">
        <v>1</v>
      </c>
      <c r="J189" s="2">
        <v>0</v>
      </c>
      <c r="K189">
        <f t="shared" si="14"/>
        <v>37.529978976036332</v>
      </c>
      <c r="L189">
        <f t="shared" si="15"/>
        <v>28.51668169601195</v>
      </c>
      <c r="M189">
        <f t="shared" si="16"/>
        <v>0.9998782351767973</v>
      </c>
      <c r="N189">
        <f t="shared" si="17"/>
        <v>1.2176482320264912E-4</v>
      </c>
      <c r="O189">
        <f t="shared" si="18"/>
        <v>0.9998782351767973</v>
      </c>
      <c r="P189">
        <f t="shared" si="19"/>
        <v>-1.2177223714062567E-4</v>
      </c>
    </row>
    <row r="190" spans="1:16" x14ac:dyDescent="0.3">
      <c r="A190" s="2">
        <f t="shared" si="20"/>
        <v>186</v>
      </c>
      <c r="B190" s="2">
        <v>25</v>
      </c>
      <c r="C190" s="2">
        <v>0.4</v>
      </c>
      <c r="D190" s="2">
        <v>15</v>
      </c>
      <c r="E190" s="2">
        <v>1</v>
      </c>
      <c r="F190" s="2">
        <v>45</v>
      </c>
      <c r="G190" s="2">
        <v>0.9</v>
      </c>
      <c r="H190" s="2">
        <v>10</v>
      </c>
      <c r="I190" s="2">
        <v>0</v>
      </c>
      <c r="J190" s="2">
        <v>1</v>
      </c>
      <c r="K190">
        <f t="shared" si="14"/>
        <v>12.395583141373463</v>
      </c>
      <c r="L190">
        <f t="shared" si="15"/>
        <v>28.51668169601195</v>
      </c>
      <c r="M190">
        <f t="shared" si="16"/>
        <v>9.9700150112418545E-8</v>
      </c>
      <c r="N190">
        <f t="shared" si="17"/>
        <v>0.99999990029984986</v>
      </c>
      <c r="O190">
        <f t="shared" si="18"/>
        <v>0.99999990029984986</v>
      </c>
      <c r="P190">
        <f t="shared" si="19"/>
        <v>-9.9700155105777838E-8</v>
      </c>
    </row>
    <row r="191" spans="1:16" x14ac:dyDescent="0.3">
      <c r="A191" s="2">
        <f t="shared" si="20"/>
        <v>187</v>
      </c>
      <c r="B191" s="2">
        <v>15</v>
      </c>
      <c r="C191" s="2">
        <v>0.4</v>
      </c>
      <c r="D191" s="2">
        <v>20</v>
      </c>
      <c r="E191" s="2">
        <v>1</v>
      </c>
      <c r="F191" s="2">
        <v>90</v>
      </c>
      <c r="G191" s="2">
        <v>1</v>
      </c>
      <c r="H191" s="2">
        <v>10</v>
      </c>
      <c r="I191" s="2">
        <v>0</v>
      </c>
      <c r="J191" s="2">
        <v>1</v>
      </c>
      <c r="K191">
        <f t="shared" si="14"/>
        <v>16.698037801533648</v>
      </c>
      <c r="L191">
        <f t="shared" si="15"/>
        <v>34.72632581616363</v>
      </c>
      <c r="M191">
        <f t="shared" si="16"/>
        <v>1.4805190185625069E-8</v>
      </c>
      <c r="N191">
        <f t="shared" si="17"/>
        <v>0.99999998519480993</v>
      </c>
      <c r="O191">
        <f t="shared" si="18"/>
        <v>0.99999998519480993</v>
      </c>
      <c r="P191">
        <f t="shared" si="19"/>
        <v>-1.4805190183504508E-8</v>
      </c>
    </row>
    <row r="192" spans="1:16" x14ac:dyDescent="0.3">
      <c r="A192" s="2">
        <f t="shared" si="20"/>
        <v>188</v>
      </c>
      <c r="B192" s="2">
        <v>25</v>
      </c>
      <c r="C192" s="2">
        <v>0.6</v>
      </c>
      <c r="D192" s="2">
        <v>15</v>
      </c>
      <c r="E192" s="2">
        <v>1</v>
      </c>
      <c r="F192" s="2">
        <v>60</v>
      </c>
      <c r="G192" s="2">
        <v>1</v>
      </c>
      <c r="H192" s="2">
        <v>10</v>
      </c>
      <c r="I192" s="2">
        <v>0</v>
      </c>
      <c r="J192" s="2">
        <v>1</v>
      </c>
      <c r="K192">
        <f t="shared" si="14"/>
        <v>12.886118939701717</v>
      </c>
      <c r="L192">
        <f t="shared" si="15"/>
        <v>24.967129345639712</v>
      </c>
      <c r="M192">
        <f t="shared" si="16"/>
        <v>5.6660628053466037E-6</v>
      </c>
      <c r="N192">
        <f t="shared" si="17"/>
        <v>0.99999433393719461</v>
      </c>
      <c r="O192">
        <f t="shared" si="18"/>
        <v>0.99999433393719461</v>
      </c>
      <c r="P192">
        <f t="shared" si="19"/>
        <v>-5.6660788575817767E-6</v>
      </c>
    </row>
    <row r="193" spans="1:16" x14ac:dyDescent="0.3">
      <c r="A193" s="2">
        <f t="shared" si="20"/>
        <v>189</v>
      </c>
      <c r="B193" s="2">
        <v>15</v>
      </c>
      <c r="C193" s="2">
        <v>0.6</v>
      </c>
      <c r="D193" s="2">
        <v>15</v>
      </c>
      <c r="E193" s="2">
        <v>1</v>
      </c>
      <c r="F193" s="2">
        <v>90</v>
      </c>
      <c r="G193" s="2">
        <v>0.8</v>
      </c>
      <c r="H193" s="2">
        <v>40</v>
      </c>
      <c r="I193" s="2">
        <v>1</v>
      </c>
      <c r="J193" s="2">
        <v>0</v>
      </c>
      <c r="K193">
        <f t="shared" si="14"/>
        <v>77.778437692453977</v>
      </c>
      <c r="L193">
        <f t="shared" si="15"/>
        <v>22.335440386869656</v>
      </c>
      <c r="M193">
        <f t="shared" si="16"/>
        <v>1</v>
      </c>
      <c r="N193">
        <f t="shared" si="17"/>
        <v>8.3447284760844041E-25</v>
      </c>
      <c r="O193">
        <f t="shared" si="18"/>
        <v>1</v>
      </c>
      <c r="P193">
        <f t="shared" si="19"/>
        <v>0</v>
      </c>
    </row>
    <row r="194" spans="1:16" x14ac:dyDescent="0.3">
      <c r="A194" s="2">
        <f t="shared" si="20"/>
        <v>190</v>
      </c>
      <c r="B194" s="2">
        <v>20</v>
      </c>
      <c r="C194" s="2">
        <v>0.6</v>
      </c>
      <c r="D194" s="2">
        <v>15</v>
      </c>
      <c r="E194" s="2">
        <v>1</v>
      </c>
      <c r="F194" s="2">
        <v>60</v>
      </c>
      <c r="G194" s="2">
        <v>0.8</v>
      </c>
      <c r="H194" s="2">
        <v>10</v>
      </c>
      <c r="I194" s="2">
        <v>0</v>
      </c>
      <c r="J194" s="2">
        <v>1</v>
      </c>
      <c r="K194">
        <f t="shared" si="14"/>
        <v>15.716966204877139</v>
      </c>
      <c r="L194">
        <f t="shared" si="15"/>
        <v>23.651284866254684</v>
      </c>
      <c r="M194">
        <f t="shared" si="16"/>
        <v>3.5810768052735022E-4</v>
      </c>
      <c r="N194">
        <f t="shared" si="17"/>
        <v>0.99964189231947265</v>
      </c>
      <c r="O194">
        <f t="shared" si="18"/>
        <v>0.99964189231947265</v>
      </c>
      <c r="P194">
        <f t="shared" si="19"/>
        <v>-3.581718163949343E-4</v>
      </c>
    </row>
    <row r="195" spans="1:16" x14ac:dyDescent="0.3">
      <c r="A195" s="2">
        <f t="shared" si="20"/>
        <v>191</v>
      </c>
      <c r="B195" s="2">
        <v>25</v>
      </c>
      <c r="C195" s="2">
        <v>0.4</v>
      </c>
      <c r="D195" s="2">
        <v>20</v>
      </c>
      <c r="E195" s="2">
        <v>1</v>
      </c>
      <c r="F195" s="2">
        <v>90</v>
      </c>
      <c r="G195" s="2">
        <v>0.8</v>
      </c>
      <c r="H195" s="2">
        <v>10</v>
      </c>
      <c r="I195" s="2">
        <v>0</v>
      </c>
      <c r="J195" s="2">
        <v>1</v>
      </c>
      <c r="K195">
        <f t="shared" si="14"/>
        <v>19.528885066709069</v>
      </c>
      <c r="L195">
        <f t="shared" si="15"/>
        <v>37.358014774933686</v>
      </c>
      <c r="M195">
        <f t="shared" si="16"/>
        <v>1.8067886042981866E-8</v>
      </c>
      <c r="N195">
        <f t="shared" si="17"/>
        <v>0.99999998193211392</v>
      </c>
      <c r="O195">
        <f t="shared" si="18"/>
        <v>0.99999998193211392</v>
      </c>
      <c r="P195">
        <f t="shared" si="19"/>
        <v>-1.8067886239391638E-8</v>
      </c>
    </row>
    <row r="196" spans="1:16" x14ac:dyDescent="0.3">
      <c r="A196" s="2">
        <f t="shared" si="20"/>
        <v>192</v>
      </c>
      <c r="B196" s="2">
        <v>15</v>
      </c>
      <c r="C196" s="2">
        <v>0.6</v>
      </c>
      <c r="D196" s="2">
        <v>20</v>
      </c>
      <c r="E196" s="2">
        <v>1</v>
      </c>
      <c r="F196" s="2">
        <v>60</v>
      </c>
      <c r="G196" s="2">
        <v>0.9</v>
      </c>
      <c r="H196" s="2">
        <v>40</v>
      </c>
      <c r="I196" s="2">
        <v>1</v>
      </c>
      <c r="J196" s="2">
        <v>0</v>
      </c>
      <c r="K196">
        <f t="shared" si="14"/>
        <v>72.551095198034346</v>
      </c>
      <c r="L196">
        <f t="shared" si="15"/>
        <v>31.176773465791396</v>
      </c>
      <c r="M196">
        <f t="shared" si="16"/>
        <v>1</v>
      </c>
      <c r="N196">
        <f t="shared" si="17"/>
        <v>1.0748809826644309E-18</v>
      </c>
      <c r="O196">
        <f t="shared" si="18"/>
        <v>1</v>
      </c>
      <c r="P196">
        <f t="shared" si="19"/>
        <v>0</v>
      </c>
    </row>
    <row r="197" spans="1:16" x14ac:dyDescent="0.3">
      <c r="A197" s="2">
        <f t="shared" si="20"/>
        <v>193</v>
      </c>
      <c r="B197" s="2">
        <v>15</v>
      </c>
      <c r="C197" s="2">
        <v>0.6</v>
      </c>
      <c r="D197" s="2">
        <v>20</v>
      </c>
      <c r="E197" s="2">
        <v>1</v>
      </c>
      <c r="F197" s="2">
        <v>45</v>
      </c>
      <c r="G197" s="2">
        <v>0.8</v>
      </c>
      <c r="H197" s="2">
        <v>40</v>
      </c>
      <c r="I197" s="2">
        <v>1</v>
      </c>
      <c r="J197" s="2">
        <v>0</v>
      </c>
      <c r="K197">
        <f t="shared" si="14"/>
        <v>72.060559399706079</v>
      </c>
      <c r="L197">
        <f t="shared" si="15"/>
        <v>31.176773465791396</v>
      </c>
      <c r="M197">
        <f t="shared" si="16"/>
        <v>1</v>
      </c>
      <c r="N197">
        <f t="shared" si="17"/>
        <v>1.7554859970499132E-18</v>
      </c>
      <c r="O197">
        <f t="shared" si="18"/>
        <v>1</v>
      </c>
      <c r="P197">
        <f t="shared" si="19"/>
        <v>0</v>
      </c>
    </row>
    <row r="198" spans="1:16" x14ac:dyDescent="0.3">
      <c r="A198" s="2">
        <f t="shared" si="20"/>
        <v>194</v>
      </c>
      <c r="B198" s="2">
        <v>25</v>
      </c>
      <c r="C198" s="2">
        <v>0.6</v>
      </c>
      <c r="D198" s="2">
        <v>15</v>
      </c>
      <c r="E198" s="2">
        <v>1</v>
      </c>
      <c r="F198" s="2">
        <v>90</v>
      </c>
      <c r="G198" s="2">
        <v>0.8</v>
      </c>
      <c r="H198" s="2">
        <v>40</v>
      </c>
      <c r="I198" s="2">
        <v>1</v>
      </c>
      <c r="J198" s="2">
        <v>0</v>
      </c>
      <c r="K198">
        <f t="shared" ref="K198:K261" si="21">$F$3*F198+$G$3*G198+$H$3*H198</f>
        <v>77.778437692453977</v>
      </c>
      <c r="L198">
        <f t="shared" ref="L198:L261" si="22">$B$3*B198+$C$3*C198+$D$3*D198+$E$3*E198</f>
        <v>24.967129345639712</v>
      </c>
      <c r="M198">
        <f t="shared" ref="M198:M261" si="23">EXP(K198)/(EXP(K198)+EXP(L198))</f>
        <v>1</v>
      </c>
      <c r="N198">
        <f t="shared" ref="N198:N261" si="24">EXP(L198)/(EXP(L198)+EXP(K198))</f>
        <v>1.159685435498325E-23</v>
      </c>
      <c r="O198">
        <f t="shared" ref="O198:O261" si="25">I198*M198+J198*N198</f>
        <v>1</v>
      </c>
      <c r="P198">
        <f t="shared" ref="P198:P261" si="26">LN(O198)</f>
        <v>0</v>
      </c>
    </row>
    <row r="199" spans="1:16" x14ac:dyDescent="0.3">
      <c r="A199" s="2">
        <f t="shared" ref="A199:A262" si="27">A198+1</f>
        <v>195</v>
      </c>
      <c r="B199" s="2">
        <v>25</v>
      </c>
      <c r="C199" s="2">
        <v>0.4</v>
      </c>
      <c r="D199" s="2">
        <v>15</v>
      </c>
      <c r="E199" s="2">
        <v>1</v>
      </c>
      <c r="F199" s="2">
        <v>90</v>
      </c>
      <c r="G199" s="2">
        <v>0.9</v>
      </c>
      <c r="H199" s="2">
        <v>20</v>
      </c>
      <c r="I199" s="2">
        <v>1</v>
      </c>
      <c r="J199" s="2">
        <v>0</v>
      </c>
      <c r="K199">
        <f t="shared" si="21"/>
        <v>37.529978976036332</v>
      </c>
      <c r="L199">
        <f t="shared" si="22"/>
        <v>28.51668169601195</v>
      </c>
      <c r="M199">
        <f t="shared" si="23"/>
        <v>0.9998782351767973</v>
      </c>
      <c r="N199">
        <f t="shared" si="24"/>
        <v>1.2176482320264912E-4</v>
      </c>
      <c r="O199">
        <f t="shared" si="25"/>
        <v>0.9998782351767973</v>
      </c>
      <c r="P199">
        <f t="shared" si="26"/>
        <v>-1.2177223714062567E-4</v>
      </c>
    </row>
    <row r="200" spans="1:16" x14ac:dyDescent="0.3">
      <c r="A200" s="2">
        <f t="shared" si="27"/>
        <v>196</v>
      </c>
      <c r="B200" s="2">
        <v>25</v>
      </c>
      <c r="C200" s="2">
        <v>0.4</v>
      </c>
      <c r="D200" s="2">
        <v>25</v>
      </c>
      <c r="E200" s="2">
        <v>1</v>
      </c>
      <c r="F200" s="2">
        <v>90</v>
      </c>
      <c r="G200" s="2">
        <v>0.9</v>
      </c>
      <c r="H200" s="2">
        <v>20</v>
      </c>
      <c r="I200" s="2">
        <v>0</v>
      </c>
      <c r="J200" s="2">
        <v>1</v>
      </c>
      <c r="K200">
        <f t="shared" si="21"/>
        <v>37.529978976036332</v>
      </c>
      <c r="L200">
        <f t="shared" si="22"/>
        <v>46.199347853855429</v>
      </c>
      <c r="M200">
        <f t="shared" si="23"/>
        <v>1.7173797728822825E-4</v>
      </c>
      <c r="N200">
        <f t="shared" si="24"/>
        <v>0.99982826202271169</v>
      </c>
      <c r="O200">
        <f t="shared" si="25"/>
        <v>0.99982826202271169</v>
      </c>
      <c r="P200">
        <f t="shared" si="26"/>
        <v>-1.7175272594335947E-4</v>
      </c>
    </row>
    <row r="201" spans="1:16" x14ac:dyDescent="0.3">
      <c r="A201" s="2">
        <f t="shared" si="27"/>
        <v>197</v>
      </c>
      <c r="B201" s="2">
        <v>25</v>
      </c>
      <c r="C201" s="2">
        <v>0.8</v>
      </c>
      <c r="D201" s="2">
        <v>20</v>
      </c>
      <c r="E201" s="2">
        <v>1</v>
      </c>
      <c r="F201" s="2">
        <v>60</v>
      </c>
      <c r="G201" s="2">
        <v>0.8</v>
      </c>
      <c r="H201" s="2">
        <v>40</v>
      </c>
      <c r="I201" s="2">
        <v>1</v>
      </c>
      <c r="J201" s="2">
        <v>0</v>
      </c>
      <c r="K201">
        <f t="shared" si="21"/>
        <v>73.96651883062205</v>
      </c>
      <c r="L201">
        <f t="shared" si="22"/>
        <v>30.258910074189213</v>
      </c>
      <c r="M201">
        <f t="shared" si="23"/>
        <v>1</v>
      </c>
      <c r="N201">
        <f t="shared" si="24"/>
        <v>1.0423815117672131E-19</v>
      </c>
      <c r="O201">
        <f t="shared" si="25"/>
        <v>1</v>
      </c>
      <c r="P201">
        <f t="shared" si="26"/>
        <v>0</v>
      </c>
    </row>
    <row r="202" spans="1:16" x14ac:dyDescent="0.3">
      <c r="A202" s="2">
        <f t="shared" si="27"/>
        <v>198</v>
      </c>
      <c r="B202" s="2">
        <v>20</v>
      </c>
      <c r="C202" s="2">
        <v>0.8</v>
      </c>
      <c r="D202" s="2">
        <v>15</v>
      </c>
      <c r="E202" s="2">
        <v>1</v>
      </c>
      <c r="F202" s="2">
        <v>45</v>
      </c>
      <c r="G202" s="2">
        <v>0.8</v>
      </c>
      <c r="H202" s="2">
        <v>10</v>
      </c>
      <c r="I202" s="2">
        <v>0</v>
      </c>
      <c r="J202" s="2">
        <v>1</v>
      </c>
      <c r="K202">
        <f t="shared" si="21"/>
        <v>13.811006773961173</v>
      </c>
      <c r="L202">
        <f t="shared" si="22"/>
        <v>20.101732515882446</v>
      </c>
      <c r="M202">
        <f t="shared" si="23"/>
        <v>1.8499855683276072E-3</v>
      </c>
      <c r="N202">
        <f t="shared" si="24"/>
        <v>0.99815001443167228</v>
      </c>
      <c r="O202">
        <f t="shared" si="25"/>
        <v>0.99815001443167228</v>
      </c>
      <c r="P202">
        <f t="shared" si="26"/>
        <v>-1.8516989050541275E-3</v>
      </c>
    </row>
    <row r="203" spans="1:16" x14ac:dyDescent="0.3">
      <c r="A203" s="2">
        <f t="shared" si="27"/>
        <v>199</v>
      </c>
      <c r="B203" s="2">
        <v>15</v>
      </c>
      <c r="C203" s="2">
        <v>0.6</v>
      </c>
      <c r="D203" s="2">
        <v>15</v>
      </c>
      <c r="E203" s="2">
        <v>1</v>
      </c>
      <c r="F203" s="2">
        <v>90</v>
      </c>
      <c r="G203" s="2">
        <v>0.8</v>
      </c>
      <c r="H203" s="2">
        <v>20</v>
      </c>
      <c r="I203" s="2">
        <v>1</v>
      </c>
      <c r="J203" s="2">
        <v>0</v>
      </c>
      <c r="K203">
        <f t="shared" si="21"/>
        <v>38.945402608624036</v>
      </c>
      <c r="L203">
        <f t="shared" si="22"/>
        <v>22.335440386869656</v>
      </c>
      <c r="M203">
        <f t="shared" si="23"/>
        <v>0.99999993885160876</v>
      </c>
      <c r="N203">
        <f t="shared" si="24"/>
        <v>6.1148391281485699E-8</v>
      </c>
      <c r="O203">
        <f t="shared" si="25"/>
        <v>0.99999993885160876</v>
      </c>
      <c r="P203">
        <f t="shared" si="26"/>
        <v>-6.1148393108948047E-8</v>
      </c>
    </row>
    <row r="204" spans="1:16" x14ac:dyDescent="0.3">
      <c r="A204" s="2">
        <f t="shared" si="27"/>
        <v>200</v>
      </c>
      <c r="B204" s="2">
        <v>15</v>
      </c>
      <c r="C204" s="2">
        <v>0.8</v>
      </c>
      <c r="D204" s="2">
        <v>25</v>
      </c>
      <c r="E204" s="2">
        <v>1</v>
      </c>
      <c r="F204" s="2">
        <v>60</v>
      </c>
      <c r="G204" s="2">
        <v>0.8</v>
      </c>
      <c r="H204" s="2">
        <v>40</v>
      </c>
      <c r="I204" s="2">
        <v>1</v>
      </c>
      <c r="J204" s="2">
        <v>0</v>
      </c>
      <c r="K204">
        <f t="shared" si="21"/>
        <v>73.96651883062205</v>
      </c>
      <c r="L204">
        <f t="shared" si="22"/>
        <v>36.468554194340904</v>
      </c>
      <c r="M204">
        <f t="shared" si="23"/>
        <v>1</v>
      </c>
      <c r="N204">
        <f t="shared" si="24"/>
        <v>5.1860998703626268E-17</v>
      </c>
      <c r="O204">
        <f t="shared" si="25"/>
        <v>1</v>
      </c>
      <c r="P204">
        <f t="shared" si="26"/>
        <v>0</v>
      </c>
    </row>
    <row r="205" spans="1:16" x14ac:dyDescent="0.3">
      <c r="A205" s="2">
        <f t="shared" si="27"/>
        <v>201</v>
      </c>
      <c r="B205" s="2">
        <v>20</v>
      </c>
      <c r="C205" s="2">
        <v>0.6</v>
      </c>
      <c r="D205" s="2">
        <v>20</v>
      </c>
      <c r="E205" s="2">
        <v>1</v>
      </c>
      <c r="F205" s="2">
        <v>90</v>
      </c>
      <c r="G205" s="2">
        <v>0.8</v>
      </c>
      <c r="H205" s="2">
        <v>20</v>
      </c>
      <c r="I205" s="2">
        <v>1</v>
      </c>
      <c r="J205" s="2">
        <v>0</v>
      </c>
      <c r="K205">
        <f t="shared" si="21"/>
        <v>38.945402608624036</v>
      </c>
      <c r="L205">
        <f t="shared" si="22"/>
        <v>32.49261794517642</v>
      </c>
      <c r="M205">
        <f t="shared" si="23"/>
        <v>0.99842635319861806</v>
      </c>
      <c r="N205">
        <f t="shared" si="24"/>
        <v>1.5736468013818577E-3</v>
      </c>
      <c r="O205">
        <f t="shared" si="25"/>
        <v>0.99842635319861806</v>
      </c>
      <c r="P205">
        <f t="shared" si="26"/>
        <v>-1.5748862840189522E-3</v>
      </c>
    </row>
    <row r="206" spans="1:16" x14ac:dyDescent="0.3">
      <c r="A206" s="2">
        <f t="shared" si="27"/>
        <v>202</v>
      </c>
      <c r="B206" s="2">
        <v>15</v>
      </c>
      <c r="C206" s="2">
        <v>0.4</v>
      </c>
      <c r="D206" s="2">
        <v>25</v>
      </c>
      <c r="E206" s="2">
        <v>1</v>
      </c>
      <c r="F206" s="2">
        <v>90</v>
      </c>
      <c r="G206" s="2">
        <v>0.8</v>
      </c>
      <c r="H206" s="2">
        <v>40</v>
      </c>
      <c r="I206" s="2">
        <v>1</v>
      </c>
      <c r="J206" s="2">
        <v>0</v>
      </c>
      <c r="K206">
        <f t="shared" si="21"/>
        <v>77.778437692453977</v>
      </c>
      <c r="L206">
        <f t="shared" si="22"/>
        <v>43.567658895085373</v>
      </c>
      <c r="M206">
        <f t="shared" si="23"/>
        <v>0.99999999999999867</v>
      </c>
      <c r="N206">
        <f t="shared" si="24"/>
        <v>1.388185637227827E-15</v>
      </c>
      <c r="O206">
        <f t="shared" si="25"/>
        <v>0.99999999999999867</v>
      </c>
      <c r="P206">
        <f t="shared" si="26"/>
        <v>-1.3322676295501886E-15</v>
      </c>
    </row>
    <row r="207" spans="1:16" x14ac:dyDescent="0.3">
      <c r="A207" s="2">
        <f t="shared" si="27"/>
        <v>203</v>
      </c>
      <c r="B207" s="2">
        <v>15</v>
      </c>
      <c r="C207" s="2">
        <v>0.8</v>
      </c>
      <c r="D207" s="2">
        <v>25</v>
      </c>
      <c r="E207" s="2">
        <v>1</v>
      </c>
      <c r="F207" s="2">
        <v>90</v>
      </c>
      <c r="G207" s="2">
        <v>1</v>
      </c>
      <c r="H207" s="2">
        <v>20</v>
      </c>
      <c r="I207" s="2">
        <v>0</v>
      </c>
      <c r="J207" s="2">
        <v>1</v>
      </c>
      <c r="K207">
        <f t="shared" si="21"/>
        <v>36.114555343448615</v>
      </c>
      <c r="L207">
        <f t="shared" si="22"/>
        <v>36.468554194340904</v>
      </c>
      <c r="M207">
        <f t="shared" si="23"/>
        <v>0.41241304721274819</v>
      </c>
      <c r="N207">
        <f t="shared" si="24"/>
        <v>0.58758695278725181</v>
      </c>
      <c r="O207">
        <f t="shared" si="25"/>
        <v>0.58758695278725181</v>
      </c>
      <c r="P207">
        <f t="shared" si="26"/>
        <v>-0.53173103917118625</v>
      </c>
    </row>
    <row r="208" spans="1:16" x14ac:dyDescent="0.3">
      <c r="A208" s="2">
        <f t="shared" si="27"/>
        <v>204</v>
      </c>
      <c r="B208" s="2">
        <v>25</v>
      </c>
      <c r="C208" s="2">
        <v>0.4</v>
      </c>
      <c r="D208" s="2">
        <v>20</v>
      </c>
      <c r="E208" s="2">
        <v>1</v>
      </c>
      <c r="F208" s="2">
        <v>45</v>
      </c>
      <c r="G208" s="2">
        <v>0.8</v>
      </c>
      <c r="H208" s="2">
        <v>20</v>
      </c>
      <c r="I208" s="2">
        <v>0</v>
      </c>
      <c r="J208" s="2">
        <v>1</v>
      </c>
      <c r="K208">
        <f t="shared" si="21"/>
        <v>33.227524315876146</v>
      </c>
      <c r="L208">
        <f t="shared" si="22"/>
        <v>37.358014774933686</v>
      </c>
      <c r="M208">
        <f t="shared" si="23"/>
        <v>1.5820675518583502E-2</v>
      </c>
      <c r="N208">
        <f t="shared" si="24"/>
        <v>0.98417932448141654</v>
      </c>
      <c r="O208">
        <f t="shared" si="25"/>
        <v>0.98417932448141654</v>
      </c>
      <c r="P208">
        <f t="shared" si="26"/>
        <v>-1.5947158206991913E-2</v>
      </c>
    </row>
    <row r="209" spans="1:16" x14ac:dyDescent="0.3">
      <c r="A209" s="2">
        <f t="shared" si="27"/>
        <v>205</v>
      </c>
      <c r="B209" s="2">
        <v>15</v>
      </c>
      <c r="C209" s="2">
        <v>0.6</v>
      </c>
      <c r="D209" s="2">
        <v>25</v>
      </c>
      <c r="E209" s="2">
        <v>1</v>
      </c>
      <c r="F209" s="2">
        <v>90</v>
      </c>
      <c r="G209" s="2">
        <v>0.9</v>
      </c>
      <c r="H209" s="2">
        <v>40</v>
      </c>
      <c r="I209" s="2">
        <v>1</v>
      </c>
      <c r="J209" s="2">
        <v>0</v>
      </c>
      <c r="K209">
        <f t="shared" si="21"/>
        <v>76.363014059866273</v>
      </c>
      <c r="L209">
        <f t="shared" si="22"/>
        <v>40.018106544713142</v>
      </c>
      <c r="M209">
        <f t="shared" si="23"/>
        <v>0.99999999999999978</v>
      </c>
      <c r="N209">
        <f t="shared" si="24"/>
        <v>1.6428852136731917E-16</v>
      </c>
      <c r="O209">
        <f t="shared" si="25"/>
        <v>0.99999999999999978</v>
      </c>
      <c r="P209">
        <f t="shared" si="26"/>
        <v>-2.2204460492503131E-16</v>
      </c>
    </row>
    <row r="210" spans="1:16" x14ac:dyDescent="0.3">
      <c r="A210" s="2">
        <f t="shared" si="27"/>
        <v>206</v>
      </c>
      <c r="B210" s="2">
        <v>20</v>
      </c>
      <c r="C210" s="2">
        <v>0.4</v>
      </c>
      <c r="D210" s="2">
        <v>25</v>
      </c>
      <c r="E210" s="2">
        <v>1</v>
      </c>
      <c r="F210" s="2">
        <v>60</v>
      </c>
      <c r="G210" s="2">
        <v>1</v>
      </c>
      <c r="H210" s="2">
        <v>40</v>
      </c>
      <c r="I210" s="2">
        <v>1</v>
      </c>
      <c r="J210" s="2">
        <v>0</v>
      </c>
      <c r="K210">
        <f t="shared" si="21"/>
        <v>71.135671565446629</v>
      </c>
      <c r="L210">
        <f t="shared" si="22"/>
        <v>44.883503374470401</v>
      </c>
      <c r="M210">
        <f t="shared" si="23"/>
        <v>0.99999999999602962</v>
      </c>
      <c r="N210">
        <f t="shared" si="24"/>
        <v>3.9703447310558512E-12</v>
      </c>
      <c r="O210">
        <f t="shared" si="25"/>
        <v>0.99999999999602962</v>
      </c>
      <c r="P210">
        <f t="shared" si="26"/>
        <v>-3.9703795806723665E-12</v>
      </c>
    </row>
    <row r="211" spans="1:16" x14ac:dyDescent="0.3">
      <c r="A211" s="2">
        <f t="shared" si="27"/>
        <v>207</v>
      </c>
      <c r="B211" s="2">
        <v>25</v>
      </c>
      <c r="C211" s="2">
        <v>0.8</v>
      </c>
      <c r="D211" s="2">
        <v>25</v>
      </c>
      <c r="E211" s="2">
        <v>1</v>
      </c>
      <c r="F211" s="2">
        <v>45</v>
      </c>
      <c r="G211" s="2">
        <v>0.8</v>
      </c>
      <c r="H211" s="2">
        <v>20</v>
      </c>
      <c r="I211" s="2">
        <v>0</v>
      </c>
      <c r="J211" s="2">
        <v>1</v>
      </c>
      <c r="K211">
        <f t="shared" si="21"/>
        <v>33.227524315876146</v>
      </c>
      <c r="L211">
        <f t="shared" si="22"/>
        <v>39.100243153110959</v>
      </c>
      <c r="M211">
        <f t="shared" si="23"/>
        <v>2.8073056731781685E-3</v>
      </c>
      <c r="N211">
        <f t="shared" si="24"/>
        <v>0.99719269432682178</v>
      </c>
      <c r="O211">
        <f t="shared" si="25"/>
        <v>0.99719269432682178</v>
      </c>
      <c r="P211">
        <f t="shared" si="26"/>
        <v>-2.8112535460712886E-3</v>
      </c>
    </row>
    <row r="212" spans="1:16" x14ac:dyDescent="0.3">
      <c r="A212" s="2">
        <f t="shared" si="27"/>
        <v>208</v>
      </c>
      <c r="B212" s="2">
        <v>20</v>
      </c>
      <c r="C212" s="2">
        <v>0.8</v>
      </c>
      <c r="D212" s="2">
        <v>20</v>
      </c>
      <c r="E212" s="2">
        <v>1</v>
      </c>
      <c r="F212" s="2">
        <v>90</v>
      </c>
      <c r="G212" s="2">
        <v>1</v>
      </c>
      <c r="H212" s="2">
        <v>10</v>
      </c>
      <c r="I212" s="2">
        <v>0</v>
      </c>
      <c r="J212" s="2">
        <v>1</v>
      </c>
      <c r="K212">
        <f t="shared" si="21"/>
        <v>16.698037801533648</v>
      </c>
      <c r="L212">
        <f t="shared" si="22"/>
        <v>28.943065594804185</v>
      </c>
      <c r="M212">
        <f t="shared" si="23"/>
        <v>4.8089461079575296E-6</v>
      </c>
      <c r="N212">
        <f t="shared" si="24"/>
        <v>0.99999519105389201</v>
      </c>
      <c r="O212">
        <f t="shared" si="25"/>
        <v>0.99999519105389201</v>
      </c>
      <c r="P212">
        <f t="shared" si="26"/>
        <v>-4.8089576710109457E-6</v>
      </c>
    </row>
    <row r="213" spans="1:16" x14ac:dyDescent="0.3">
      <c r="A213" s="2">
        <f t="shared" si="27"/>
        <v>209</v>
      </c>
      <c r="B213" s="2">
        <v>25</v>
      </c>
      <c r="C213" s="2">
        <v>0.4</v>
      </c>
      <c r="D213" s="2">
        <v>15</v>
      </c>
      <c r="E213" s="2">
        <v>1</v>
      </c>
      <c r="F213" s="2">
        <v>60</v>
      </c>
      <c r="G213" s="2">
        <v>0.8</v>
      </c>
      <c r="H213" s="2">
        <v>10</v>
      </c>
      <c r="I213" s="2">
        <v>0</v>
      </c>
      <c r="J213" s="2">
        <v>1</v>
      </c>
      <c r="K213">
        <f t="shared" si="21"/>
        <v>15.716966204877139</v>
      </c>
      <c r="L213">
        <f t="shared" si="22"/>
        <v>28.51668169601195</v>
      </c>
      <c r="M213">
        <f t="shared" si="23"/>
        <v>2.7615505218727403E-6</v>
      </c>
      <c r="N213">
        <f t="shared" si="24"/>
        <v>0.99999723844947819</v>
      </c>
      <c r="O213">
        <f t="shared" si="25"/>
        <v>0.99999723844947819</v>
      </c>
      <c r="P213">
        <f t="shared" si="26"/>
        <v>-2.7615543349002568E-6</v>
      </c>
    </row>
    <row r="214" spans="1:16" x14ac:dyDescent="0.3">
      <c r="A214" s="2">
        <f t="shared" si="27"/>
        <v>210</v>
      </c>
      <c r="B214" s="2">
        <v>20</v>
      </c>
      <c r="C214" s="2">
        <v>0.8</v>
      </c>
      <c r="D214" s="2">
        <v>25</v>
      </c>
      <c r="E214" s="2">
        <v>1</v>
      </c>
      <c r="F214" s="2">
        <v>45</v>
      </c>
      <c r="G214" s="2">
        <v>1</v>
      </c>
      <c r="H214" s="2">
        <v>10</v>
      </c>
      <c r="I214" s="2">
        <v>0</v>
      </c>
      <c r="J214" s="2">
        <v>1</v>
      </c>
      <c r="K214">
        <f t="shared" si="21"/>
        <v>10.980159508785752</v>
      </c>
      <c r="L214">
        <f t="shared" si="22"/>
        <v>37.784398673725924</v>
      </c>
      <c r="M214">
        <f t="shared" si="23"/>
        <v>2.2859505900463793E-12</v>
      </c>
      <c r="N214">
        <f t="shared" si="24"/>
        <v>0.99999999999771416</v>
      </c>
      <c r="O214">
        <f t="shared" si="25"/>
        <v>0.99999999999771416</v>
      </c>
      <c r="P214">
        <f t="shared" si="26"/>
        <v>-2.2858381854033472E-12</v>
      </c>
    </row>
    <row r="215" spans="1:16" x14ac:dyDescent="0.3">
      <c r="A215" s="2">
        <f t="shared" si="27"/>
        <v>211</v>
      </c>
      <c r="B215" s="2">
        <v>20</v>
      </c>
      <c r="C215" s="2">
        <v>0.8</v>
      </c>
      <c r="D215" s="2">
        <v>25</v>
      </c>
      <c r="E215" s="2">
        <v>1</v>
      </c>
      <c r="F215" s="2">
        <v>45</v>
      </c>
      <c r="G215" s="2">
        <v>1</v>
      </c>
      <c r="H215" s="2">
        <v>20</v>
      </c>
      <c r="I215" s="2">
        <v>0</v>
      </c>
      <c r="J215" s="2">
        <v>1</v>
      </c>
      <c r="K215">
        <f t="shared" si="21"/>
        <v>30.396677050700724</v>
      </c>
      <c r="L215">
        <f t="shared" si="22"/>
        <v>37.784398673725924</v>
      </c>
      <c r="M215">
        <f t="shared" si="23"/>
        <v>6.1842153604883821E-4</v>
      </c>
      <c r="N215">
        <f t="shared" si="24"/>
        <v>0.99938157846395126</v>
      </c>
      <c r="O215">
        <f t="shared" si="25"/>
        <v>0.99938157846395126</v>
      </c>
      <c r="P215">
        <f t="shared" si="26"/>
        <v>-6.1861283752089827E-4</v>
      </c>
    </row>
    <row r="216" spans="1:16" x14ac:dyDescent="0.3">
      <c r="A216" s="2">
        <f t="shared" si="27"/>
        <v>212</v>
      </c>
      <c r="B216" s="2">
        <v>20</v>
      </c>
      <c r="C216" s="2">
        <v>0.6</v>
      </c>
      <c r="D216" s="2">
        <v>20</v>
      </c>
      <c r="E216" s="2">
        <v>1</v>
      </c>
      <c r="F216" s="2">
        <v>60</v>
      </c>
      <c r="G216" s="2">
        <v>0.8</v>
      </c>
      <c r="H216" s="2">
        <v>20</v>
      </c>
      <c r="I216" s="2">
        <v>1</v>
      </c>
      <c r="J216" s="2">
        <v>0</v>
      </c>
      <c r="K216">
        <f t="shared" si="21"/>
        <v>35.133483746792109</v>
      </c>
      <c r="L216">
        <f t="shared" si="22"/>
        <v>32.49261794517642</v>
      </c>
      <c r="M216">
        <f t="shared" si="23"/>
        <v>0.93344577233417503</v>
      </c>
      <c r="N216">
        <f t="shared" si="24"/>
        <v>6.6554227665824917E-2</v>
      </c>
      <c r="O216">
        <f t="shared" si="25"/>
        <v>0.93344577233417503</v>
      </c>
      <c r="P216">
        <f t="shared" si="26"/>
        <v>-6.8872408384877612E-2</v>
      </c>
    </row>
    <row r="217" spans="1:16" x14ac:dyDescent="0.3">
      <c r="A217" s="2">
        <f t="shared" si="27"/>
        <v>213</v>
      </c>
      <c r="B217" s="2">
        <v>20</v>
      </c>
      <c r="C217" s="2">
        <v>0.8</v>
      </c>
      <c r="D217" s="2">
        <v>15</v>
      </c>
      <c r="E217" s="2">
        <v>1</v>
      </c>
      <c r="F217" s="2">
        <v>90</v>
      </c>
      <c r="G217" s="2">
        <v>0.8</v>
      </c>
      <c r="H217" s="2">
        <v>10</v>
      </c>
      <c r="I217" s="2">
        <v>0</v>
      </c>
      <c r="J217" s="2">
        <v>1</v>
      </c>
      <c r="K217">
        <f t="shared" si="21"/>
        <v>19.528885066709069</v>
      </c>
      <c r="L217">
        <f t="shared" si="22"/>
        <v>20.101732515882446</v>
      </c>
      <c r="M217">
        <f t="shared" si="23"/>
        <v>0.3605800507636554</v>
      </c>
      <c r="N217">
        <f t="shared" si="24"/>
        <v>0.63941994923634449</v>
      </c>
      <c r="O217">
        <f t="shared" si="25"/>
        <v>0.63941994923634449</v>
      </c>
      <c r="P217">
        <f t="shared" si="26"/>
        <v>-0.44719384291137948</v>
      </c>
    </row>
    <row r="218" spans="1:16" x14ac:dyDescent="0.3">
      <c r="A218" s="2">
        <f t="shared" si="27"/>
        <v>214</v>
      </c>
      <c r="B218" s="2">
        <v>15</v>
      </c>
      <c r="C218" s="2">
        <v>0.4</v>
      </c>
      <c r="D218" s="2">
        <v>15</v>
      </c>
      <c r="E218" s="2">
        <v>1</v>
      </c>
      <c r="F218" s="2">
        <v>60</v>
      </c>
      <c r="G218" s="2">
        <v>0.9</v>
      </c>
      <c r="H218" s="2">
        <v>10</v>
      </c>
      <c r="I218" s="2">
        <v>0</v>
      </c>
      <c r="J218" s="2">
        <v>1</v>
      </c>
      <c r="K218">
        <f t="shared" si="21"/>
        <v>14.301542572289428</v>
      </c>
      <c r="L218">
        <f t="shared" si="22"/>
        <v>25.884992737241895</v>
      </c>
      <c r="M218">
        <f t="shared" si="23"/>
        <v>9.3189603682829974E-6</v>
      </c>
      <c r="N218">
        <f t="shared" si="24"/>
        <v>0.99999068103963173</v>
      </c>
      <c r="O218">
        <f t="shared" si="25"/>
        <v>0.99999068103963173</v>
      </c>
      <c r="P218">
        <f t="shared" si="26"/>
        <v>-9.3190037900462307E-6</v>
      </c>
    </row>
    <row r="219" spans="1:16" x14ac:dyDescent="0.3">
      <c r="A219" s="2">
        <f t="shared" si="27"/>
        <v>215</v>
      </c>
      <c r="B219" s="2">
        <v>20</v>
      </c>
      <c r="C219" s="2">
        <v>0.6</v>
      </c>
      <c r="D219" s="2">
        <v>25</v>
      </c>
      <c r="E219" s="2">
        <v>1</v>
      </c>
      <c r="F219" s="2">
        <v>60</v>
      </c>
      <c r="G219" s="2">
        <v>0.9</v>
      </c>
      <c r="H219" s="2">
        <v>40</v>
      </c>
      <c r="I219" s="2">
        <v>1</v>
      </c>
      <c r="J219" s="2">
        <v>0</v>
      </c>
      <c r="K219">
        <f t="shared" si="21"/>
        <v>72.551095198034346</v>
      </c>
      <c r="L219">
        <f t="shared" si="22"/>
        <v>41.33395102409817</v>
      </c>
      <c r="M219">
        <f t="shared" si="23"/>
        <v>0.99999999999997236</v>
      </c>
      <c r="N219">
        <f t="shared" si="24"/>
        <v>2.7705535228511357E-14</v>
      </c>
      <c r="O219">
        <f t="shared" si="25"/>
        <v>0.99999999999997236</v>
      </c>
      <c r="P219">
        <f t="shared" si="26"/>
        <v>-2.764455331316678E-14</v>
      </c>
    </row>
    <row r="220" spans="1:16" x14ac:dyDescent="0.3">
      <c r="A220" s="2">
        <f t="shared" si="27"/>
        <v>216</v>
      </c>
      <c r="B220" s="2">
        <v>20</v>
      </c>
      <c r="C220" s="2">
        <v>0.4</v>
      </c>
      <c r="D220" s="2">
        <v>20</v>
      </c>
      <c r="E220" s="2">
        <v>1</v>
      </c>
      <c r="F220" s="2">
        <v>90</v>
      </c>
      <c r="G220" s="2">
        <v>0.9</v>
      </c>
      <c r="H220" s="2">
        <v>20</v>
      </c>
      <c r="I220" s="2">
        <v>1</v>
      </c>
      <c r="J220" s="2">
        <v>0</v>
      </c>
      <c r="K220">
        <f t="shared" si="21"/>
        <v>37.529978976036332</v>
      </c>
      <c r="L220">
        <f t="shared" si="22"/>
        <v>36.042170295548658</v>
      </c>
      <c r="M220">
        <f t="shared" si="23"/>
        <v>0.81574913968273377</v>
      </c>
      <c r="N220">
        <f t="shared" si="24"/>
        <v>0.18425086031726629</v>
      </c>
      <c r="O220">
        <f t="shared" si="25"/>
        <v>0.81574913968273377</v>
      </c>
      <c r="P220">
        <f t="shared" si="26"/>
        <v>-0.20364839814274921</v>
      </c>
    </row>
    <row r="221" spans="1:16" x14ac:dyDescent="0.3">
      <c r="A221" s="2">
        <f t="shared" si="27"/>
        <v>217</v>
      </c>
      <c r="B221" s="2">
        <v>20</v>
      </c>
      <c r="C221" s="2">
        <v>0.8</v>
      </c>
      <c r="D221" s="2">
        <v>15</v>
      </c>
      <c r="E221" s="2">
        <v>1</v>
      </c>
      <c r="F221" s="2">
        <v>90</v>
      </c>
      <c r="G221" s="2">
        <v>1</v>
      </c>
      <c r="H221" s="2">
        <v>40</v>
      </c>
      <c r="I221" s="2">
        <v>1</v>
      </c>
      <c r="J221" s="2">
        <v>0</v>
      </c>
      <c r="K221">
        <f t="shared" si="21"/>
        <v>74.947590427278556</v>
      </c>
      <c r="L221">
        <f t="shared" si="22"/>
        <v>20.101732515882446</v>
      </c>
      <c r="M221">
        <f t="shared" si="23"/>
        <v>1</v>
      </c>
      <c r="N221">
        <f t="shared" si="24"/>
        <v>1.5161653034046828E-24</v>
      </c>
      <c r="O221">
        <f t="shared" si="25"/>
        <v>1</v>
      </c>
      <c r="P221">
        <f t="shared" si="26"/>
        <v>0</v>
      </c>
    </row>
    <row r="222" spans="1:16" x14ac:dyDescent="0.3">
      <c r="A222" s="2">
        <f t="shared" si="27"/>
        <v>218</v>
      </c>
      <c r="B222" s="2">
        <v>25</v>
      </c>
      <c r="C222" s="2">
        <v>0.4</v>
      </c>
      <c r="D222" s="2">
        <v>25</v>
      </c>
      <c r="E222" s="2">
        <v>1</v>
      </c>
      <c r="F222" s="2">
        <v>60</v>
      </c>
      <c r="G222" s="2">
        <v>0.8</v>
      </c>
      <c r="H222" s="2">
        <v>10</v>
      </c>
      <c r="I222" s="2">
        <v>0</v>
      </c>
      <c r="J222" s="2">
        <v>1</v>
      </c>
      <c r="K222">
        <f t="shared" si="21"/>
        <v>15.716966204877139</v>
      </c>
      <c r="L222">
        <f t="shared" si="22"/>
        <v>46.199347853855429</v>
      </c>
      <c r="M222">
        <f t="shared" si="23"/>
        <v>5.7765675276644235E-14</v>
      </c>
      <c r="N222">
        <f t="shared" si="24"/>
        <v>0.99999999999994216</v>
      </c>
      <c r="O222">
        <f t="shared" si="25"/>
        <v>0.99999999999994216</v>
      </c>
      <c r="P222">
        <f t="shared" si="26"/>
        <v>-5.7842619582972334E-14</v>
      </c>
    </row>
    <row r="223" spans="1:16" x14ac:dyDescent="0.3">
      <c r="A223" s="2">
        <f t="shared" si="27"/>
        <v>219</v>
      </c>
      <c r="B223" s="2">
        <v>20</v>
      </c>
      <c r="C223" s="2">
        <v>0.6</v>
      </c>
      <c r="D223" s="2">
        <v>15</v>
      </c>
      <c r="E223" s="2">
        <v>1</v>
      </c>
      <c r="F223" s="2">
        <v>45</v>
      </c>
      <c r="G223" s="2">
        <v>0.9</v>
      </c>
      <c r="H223" s="2">
        <v>10</v>
      </c>
      <c r="I223" s="2">
        <v>0</v>
      </c>
      <c r="J223" s="2">
        <v>1</v>
      </c>
      <c r="K223">
        <f t="shared" si="21"/>
        <v>12.395583141373463</v>
      </c>
      <c r="L223">
        <f t="shared" si="22"/>
        <v>23.651284866254684</v>
      </c>
      <c r="M223">
        <f t="shared" si="23"/>
        <v>1.2933177382341442E-5</v>
      </c>
      <c r="N223">
        <f t="shared" si="24"/>
        <v>0.99998706682261762</v>
      </c>
      <c r="O223">
        <f t="shared" si="25"/>
        <v>0.99998706682261762</v>
      </c>
      <c r="P223">
        <f t="shared" si="26"/>
        <v>-1.2933261016639021E-5</v>
      </c>
    </row>
    <row r="224" spans="1:16" x14ac:dyDescent="0.3">
      <c r="A224" s="2">
        <f t="shared" si="27"/>
        <v>220</v>
      </c>
      <c r="B224" s="2">
        <v>15</v>
      </c>
      <c r="C224" s="2">
        <v>0.8</v>
      </c>
      <c r="D224" s="2">
        <v>20</v>
      </c>
      <c r="E224" s="2">
        <v>1</v>
      </c>
      <c r="F224" s="2">
        <v>90</v>
      </c>
      <c r="G224" s="2">
        <v>0.8</v>
      </c>
      <c r="H224" s="2">
        <v>10</v>
      </c>
      <c r="I224" s="2">
        <v>0</v>
      </c>
      <c r="J224" s="2">
        <v>1</v>
      </c>
      <c r="K224">
        <f t="shared" si="21"/>
        <v>19.528885066709069</v>
      </c>
      <c r="L224">
        <f t="shared" si="22"/>
        <v>27.627221115419157</v>
      </c>
      <c r="M224">
        <f t="shared" si="23"/>
        <v>3.0395221782145306E-4</v>
      </c>
      <c r="N224">
        <f t="shared" si="24"/>
        <v>0.99969604778217847</v>
      </c>
      <c r="O224">
        <f t="shared" si="25"/>
        <v>0.99969604778217847</v>
      </c>
      <c r="P224">
        <f t="shared" si="26"/>
        <v>-3.0399842065943468E-4</v>
      </c>
    </row>
    <row r="225" spans="1:16" x14ac:dyDescent="0.3">
      <c r="A225" s="2">
        <f t="shared" si="27"/>
        <v>221</v>
      </c>
      <c r="B225" s="2">
        <v>15</v>
      </c>
      <c r="C225" s="2">
        <v>0.4</v>
      </c>
      <c r="D225" s="2">
        <v>15</v>
      </c>
      <c r="E225" s="2">
        <v>1</v>
      </c>
      <c r="F225" s="2">
        <v>90</v>
      </c>
      <c r="G225" s="2">
        <v>1</v>
      </c>
      <c r="H225" s="2">
        <v>20</v>
      </c>
      <c r="I225" s="2">
        <v>1</v>
      </c>
      <c r="J225" s="2">
        <v>0</v>
      </c>
      <c r="K225">
        <f t="shared" si="21"/>
        <v>36.114555343448615</v>
      </c>
      <c r="L225">
        <f t="shared" si="22"/>
        <v>25.884992737241895</v>
      </c>
      <c r="M225">
        <f t="shared" si="23"/>
        <v>0.99996391375149751</v>
      </c>
      <c r="N225">
        <f t="shared" si="24"/>
        <v>3.6086248502469158E-5</v>
      </c>
      <c r="O225">
        <f t="shared" si="25"/>
        <v>0.99996391375149751</v>
      </c>
      <c r="P225">
        <f t="shared" si="26"/>
        <v>-3.6086899626817058E-5</v>
      </c>
    </row>
    <row r="226" spans="1:16" x14ac:dyDescent="0.3">
      <c r="A226" s="2">
        <f t="shared" si="27"/>
        <v>222</v>
      </c>
      <c r="B226" s="2">
        <v>20</v>
      </c>
      <c r="C226" s="2">
        <v>0.6</v>
      </c>
      <c r="D226" s="2">
        <v>25</v>
      </c>
      <c r="E226" s="2">
        <v>1</v>
      </c>
      <c r="F226" s="2">
        <v>60</v>
      </c>
      <c r="G226" s="2">
        <v>0.9</v>
      </c>
      <c r="H226" s="2">
        <v>10</v>
      </c>
      <c r="I226" s="2">
        <v>0</v>
      </c>
      <c r="J226" s="2">
        <v>1</v>
      </c>
      <c r="K226">
        <f t="shared" si="21"/>
        <v>14.301542572289428</v>
      </c>
      <c r="L226">
        <f t="shared" si="22"/>
        <v>41.33395102409817</v>
      </c>
      <c r="M226">
        <f t="shared" si="23"/>
        <v>1.8195926623036139E-12</v>
      </c>
      <c r="N226">
        <f t="shared" si="24"/>
        <v>0.99999999999818046</v>
      </c>
      <c r="O226">
        <f t="shared" si="25"/>
        <v>0.99999999999818046</v>
      </c>
      <c r="P226">
        <f t="shared" si="26"/>
        <v>-1.8195445150598246E-12</v>
      </c>
    </row>
    <row r="227" spans="1:16" x14ac:dyDescent="0.3">
      <c r="A227" s="2">
        <f t="shared" si="27"/>
        <v>223</v>
      </c>
      <c r="B227" s="2">
        <v>20</v>
      </c>
      <c r="C227" s="2">
        <v>0.8</v>
      </c>
      <c r="D227" s="2">
        <v>15</v>
      </c>
      <c r="E227" s="2">
        <v>1</v>
      </c>
      <c r="F227" s="2">
        <v>90</v>
      </c>
      <c r="G227" s="2">
        <v>0.9</v>
      </c>
      <c r="H227" s="2">
        <v>40</v>
      </c>
      <c r="I227" s="2">
        <v>1</v>
      </c>
      <c r="J227" s="2">
        <v>0</v>
      </c>
      <c r="K227">
        <f t="shared" si="21"/>
        <v>76.363014059866273</v>
      </c>
      <c r="L227">
        <f t="shared" si="22"/>
        <v>20.101732515882446</v>
      </c>
      <c r="M227">
        <f t="shared" si="23"/>
        <v>1</v>
      </c>
      <c r="N227">
        <f t="shared" si="24"/>
        <v>3.6815938906415081E-25</v>
      </c>
      <c r="O227">
        <f t="shared" si="25"/>
        <v>1</v>
      </c>
      <c r="P227">
        <f t="shared" si="26"/>
        <v>0</v>
      </c>
    </row>
    <row r="228" spans="1:16" x14ac:dyDescent="0.3">
      <c r="A228" s="2">
        <f t="shared" si="27"/>
        <v>224</v>
      </c>
      <c r="B228" s="2">
        <v>20</v>
      </c>
      <c r="C228" s="2">
        <v>0.6</v>
      </c>
      <c r="D228" s="2">
        <v>15</v>
      </c>
      <c r="E228" s="2">
        <v>1</v>
      </c>
      <c r="F228" s="2">
        <v>45</v>
      </c>
      <c r="G228" s="2">
        <v>0.9</v>
      </c>
      <c r="H228" s="2">
        <v>10</v>
      </c>
      <c r="I228" s="2">
        <v>0</v>
      </c>
      <c r="J228" s="2">
        <v>1</v>
      </c>
      <c r="K228">
        <f t="shared" si="21"/>
        <v>12.395583141373463</v>
      </c>
      <c r="L228">
        <f t="shared" si="22"/>
        <v>23.651284866254684</v>
      </c>
      <c r="M228">
        <f t="shared" si="23"/>
        <v>1.2933177382341442E-5</v>
      </c>
      <c r="N228">
        <f t="shared" si="24"/>
        <v>0.99998706682261762</v>
      </c>
      <c r="O228">
        <f t="shared" si="25"/>
        <v>0.99998706682261762</v>
      </c>
      <c r="P228">
        <f t="shared" si="26"/>
        <v>-1.2933261016639021E-5</v>
      </c>
    </row>
    <row r="229" spans="1:16" x14ac:dyDescent="0.3">
      <c r="A229" s="2">
        <f t="shared" si="27"/>
        <v>225</v>
      </c>
      <c r="B229" s="2">
        <v>15</v>
      </c>
      <c r="C229" s="2">
        <v>0.4</v>
      </c>
      <c r="D229" s="2">
        <v>20</v>
      </c>
      <c r="E229" s="2">
        <v>1</v>
      </c>
      <c r="F229" s="2">
        <v>45</v>
      </c>
      <c r="G229" s="2">
        <v>0.9</v>
      </c>
      <c r="H229" s="2">
        <v>10</v>
      </c>
      <c r="I229" s="2">
        <v>0</v>
      </c>
      <c r="J229" s="2">
        <v>1</v>
      </c>
      <c r="K229">
        <f t="shared" si="21"/>
        <v>12.395583141373463</v>
      </c>
      <c r="L229">
        <f t="shared" si="22"/>
        <v>34.72632581616363</v>
      </c>
      <c r="M229">
        <f t="shared" si="23"/>
        <v>2.0039259971078736E-10</v>
      </c>
      <c r="N229">
        <f t="shared" si="24"/>
        <v>0.99999999979960741</v>
      </c>
      <c r="O229">
        <f t="shared" si="25"/>
        <v>0.99999999979960741</v>
      </c>
      <c r="P229">
        <f t="shared" si="26"/>
        <v>-2.0039259142966025E-10</v>
      </c>
    </row>
    <row r="230" spans="1:16" x14ac:dyDescent="0.3">
      <c r="A230" s="2">
        <f t="shared" si="27"/>
        <v>226</v>
      </c>
      <c r="B230" s="2">
        <v>25</v>
      </c>
      <c r="C230" s="2">
        <v>0.4</v>
      </c>
      <c r="D230" s="2">
        <v>15</v>
      </c>
      <c r="E230" s="2">
        <v>1</v>
      </c>
      <c r="F230" s="2">
        <v>90</v>
      </c>
      <c r="G230" s="2">
        <v>0.9</v>
      </c>
      <c r="H230" s="2">
        <v>20</v>
      </c>
      <c r="I230" s="2">
        <v>1</v>
      </c>
      <c r="J230" s="2">
        <v>0</v>
      </c>
      <c r="K230">
        <f t="shared" si="21"/>
        <v>37.529978976036332</v>
      </c>
      <c r="L230">
        <f t="shared" si="22"/>
        <v>28.51668169601195</v>
      </c>
      <c r="M230">
        <f t="shared" si="23"/>
        <v>0.9998782351767973</v>
      </c>
      <c r="N230">
        <f t="shared" si="24"/>
        <v>1.2176482320264912E-4</v>
      </c>
      <c r="O230">
        <f t="shared" si="25"/>
        <v>0.9998782351767973</v>
      </c>
      <c r="P230">
        <f t="shared" si="26"/>
        <v>-1.2177223714062567E-4</v>
      </c>
    </row>
    <row r="231" spans="1:16" x14ac:dyDescent="0.3">
      <c r="A231" s="2">
        <f t="shared" si="27"/>
        <v>227</v>
      </c>
      <c r="B231" s="2">
        <v>25</v>
      </c>
      <c r="C231" s="2">
        <v>0.6</v>
      </c>
      <c r="D231" s="2">
        <v>15</v>
      </c>
      <c r="E231" s="2">
        <v>1</v>
      </c>
      <c r="F231" s="2">
        <v>90</v>
      </c>
      <c r="G231" s="2">
        <v>1</v>
      </c>
      <c r="H231" s="2">
        <v>20</v>
      </c>
      <c r="I231" s="2">
        <v>1</v>
      </c>
      <c r="J231" s="2">
        <v>0</v>
      </c>
      <c r="K231">
        <f t="shared" si="21"/>
        <v>36.114555343448615</v>
      </c>
      <c r="L231">
        <f t="shared" si="22"/>
        <v>24.967129345639712</v>
      </c>
      <c r="M231">
        <f t="shared" si="23"/>
        <v>0.99998558787093939</v>
      </c>
      <c r="N231">
        <f t="shared" si="24"/>
        <v>1.4412129060565476E-5</v>
      </c>
      <c r="O231">
        <f t="shared" si="25"/>
        <v>0.99998558787093939</v>
      </c>
      <c r="P231">
        <f t="shared" si="26"/>
        <v>-1.4412232916344616E-5</v>
      </c>
    </row>
    <row r="232" spans="1:16" x14ac:dyDescent="0.3">
      <c r="A232" s="2">
        <f t="shared" si="27"/>
        <v>228</v>
      </c>
      <c r="B232" s="2">
        <v>25</v>
      </c>
      <c r="C232" s="2">
        <v>0.4</v>
      </c>
      <c r="D232" s="2">
        <v>20</v>
      </c>
      <c r="E232" s="2">
        <v>1</v>
      </c>
      <c r="F232" s="2">
        <v>45</v>
      </c>
      <c r="G232" s="2">
        <v>0.9</v>
      </c>
      <c r="H232" s="2">
        <v>10</v>
      </c>
      <c r="I232" s="2">
        <v>0</v>
      </c>
      <c r="J232" s="2">
        <v>1</v>
      </c>
      <c r="K232">
        <f t="shared" si="21"/>
        <v>12.395583141373463</v>
      </c>
      <c r="L232">
        <f t="shared" si="22"/>
        <v>37.358014774933686</v>
      </c>
      <c r="M232">
        <f t="shared" si="23"/>
        <v>1.441961571928868E-11</v>
      </c>
      <c r="N232">
        <f t="shared" si="24"/>
        <v>0.99999999998558031</v>
      </c>
      <c r="O232">
        <f t="shared" si="25"/>
        <v>0.99999999998558031</v>
      </c>
      <c r="P232">
        <f t="shared" si="26"/>
        <v>-1.4419687666237959E-11</v>
      </c>
    </row>
    <row r="233" spans="1:16" x14ac:dyDescent="0.3">
      <c r="A233" s="2">
        <f t="shared" si="27"/>
        <v>229</v>
      </c>
      <c r="B233" s="2">
        <v>15</v>
      </c>
      <c r="C233" s="2">
        <v>0.6</v>
      </c>
      <c r="D233" s="2">
        <v>25</v>
      </c>
      <c r="E233" s="2">
        <v>1</v>
      </c>
      <c r="F233" s="2">
        <v>90</v>
      </c>
      <c r="G233" s="2">
        <v>1</v>
      </c>
      <c r="H233" s="2">
        <v>40</v>
      </c>
      <c r="I233" s="2">
        <v>1</v>
      </c>
      <c r="J233" s="2">
        <v>0</v>
      </c>
      <c r="K233">
        <f t="shared" si="21"/>
        <v>74.947590427278556</v>
      </c>
      <c r="L233">
        <f t="shared" si="22"/>
        <v>40.018106544713142</v>
      </c>
      <c r="M233">
        <f t="shared" si="23"/>
        <v>0.99999999999999944</v>
      </c>
      <c r="N233">
        <f t="shared" si="24"/>
        <v>6.7657803452456576E-16</v>
      </c>
      <c r="O233">
        <f t="shared" si="25"/>
        <v>0.99999999999999944</v>
      </c>
      <c r="P233">
        <f t="shared" si="26"/>
        <v>-5.5511151231257847E-16</v>
      </c>
    </row>
    <row r="234" spans="1:16" x14ac:dyDescent="0.3">
      <c r="A234" s="2">
        <f t="shared" si="27"/>
        <v>230</v>
      </c>
      <c r="B234" s="2">
        <v>15</v>
      </c>
      <c r="C234" s="2">
        <v>0.4</v>
      </c>
      <c r="D234" s="2">
        <v>20</v>
      </c>
      <c r="E234" s="2">
        <v>1</v>
      </c>
      <c r="F234" s="2">
        <v>90</v>
      </c>
      <c r="G234" s="2">
        <v>1</v>
      </c>
      <c r="H234" s="2">
        <v>20</v>
      </c>
      <c r="I234" s="2">
        <v>1</v>
      </c>
      <c r="J234" s="2">
        <v>0</v>
      </c>
      <c r="K234">
        <f t="shared" si="21"/>
        <v>36.114555343448615</v>
      </c>
      <c r="L234">
        <f t="shared" si="22"/>
        <v>34.72632581616363</v>
      </c>
      <c r="M234">
        <f t="shared" si="23"/>
        <v>0.80030944684052852</v>
      </c>
      <c r="N234">
        <f t="shared" si="24"/>
        <v>0.19969055315947148</v>
      </c>
      <c r="O234">
        <f t="shared" si="25"/>
        <v>0.80030944684052852</v>
      </c>
      <c r="P234">
        <f t="shared" si="26"/>
        <v>-0.22275681755469059</v>
      </c>
    </row>
    <row r="235" spans="1:16" x14ac:dyDescent="0.3">
      <c r="A235" s="2">
        <f t="shared" si="27"/>
        <v>231</v>
      </c>
      <c r="B235" s="2">
        <v>20</v>
      </c>
      <c r="C235" s="2">
        <v>0.6</v>
      </c>
      <c r="D235" s="2">
        <v>15</v>
      </c>
      <c r="E235" s="2">
        <v>1</v>
      </c>
      <c r="F235" s="2">
        <v>60</v>
      </c>
      <c r="G235" s="2">
        <v>0.8</v>
      </c>
      <c r="H235" s="2">
        <v>20</v>
      </c>
      <c r="I235" s="2">
        <v>1</v>
      </c>
      <c r="J235" s="2">
        <v>0</v>
      </c>
      <c r="K235">
        <f t="shared" si="21"/>
        <v>35.133483746792109</v>
      </c>
      <c r="L235">
        <f t="shared" si="22"/>
        <v>23.651284866254684</v>
      </c>
      <c r="M235">
        <f t="shared" si="23"/>
        <v>0.99998968807115451</v>
      </c>
      <c r="N235">
        <f t="shared" si="24"/>
        <v>1.0311928845465062E-5</v>
      </c>
      <c r="O235">
        <f t="shared" si="25"/>
        <v>0.99998968807115451</v>
      </c>
      <c r="P235">
        <f t="shared" si="26"/>
        <v>-1.0311982013789366E-5</v>
      </c>
    </row>
    <row r="236" spans="1:16" x14ac:dyDescent="0.3">
      <c r="A236" s="2">
        <f t="shared" si="27"/>
        <v>232</v>
      </c>
      <c r="B236" s="2">
        <v>25</v>
      </c>
      <c r="C236" s="2">
        <v>0.8</v>
      </c>
      <c r="D236" s="2">
        <v>15</v>
      </c>
      <c r="E236" s="2">
        <v>1</v>
      </c>
      <c r="F236" s="2">
        <v>90</v>
      </c>
      <c r="G236" s="2">
        <v>0.9</v>
      </c>
      <c r="H236" s="2">
        <v>10</v>
      </c>
      <c r="I236" s="2">
        <v>0</v>
      </c>
      <c r="J236" s="2">
        <v>1</v>
      </c>
      <c r="K236">
        <f t="shared" si="21"/>
        <v>18.113461434121358</v>
      </c>
      <c r="L236">
        <f t="shared" si="22"/>
        <v>21.417576995267474</v>
      </c>
      <c r="M236">
        <f t="shared" si="23"/>
        <v>3.5430270875025989E-2</v>
      </c>
      <c r="N236">
        <f t="shared" si="24"/>
        <v>0.96456972912497407</v>
      </c>
      <c r="O236">
        <f t="shared" si="25"/>
        <v>0.96456972912497407</v>
      </c>
      <c r="P236">
        <f t="shared" si="26"/>
        <v>-3.6073153630090546E-2</v>
      </c>
    </row>
    <row r="237" spans="1:16" x14ac:dyDescent="0.3">
      <c r="A237" s="2">
        <f t="shared" si="27"/>
        <v>233</v>
      </c>
      <c r="B237" s="2">
        <v>20</v>
      </c>
      <c r="C237" s="2">
        <v>0.6</v>
      </c>
      <c r="D237" s="2">
        <v>25</v>
      </c>
      <c r="E237" s="2">
        <v>1</v>
      </c>
      <c r="F237" s="2">
        <v>45</v>
      </c>
      <c r="G237" s="2">
        <v>0.9</v>
      </c>
      <c r="H237" s="2">
        <v>20</v>
      </c>
      <c r="I237" s="2">
        <v>0</v>
      </c>
      <c r="J237" s="2">
        <v>1</v>
      </c>
      <c r="K237">
        <f t="shared" si="21"/>
        <v>31.812100683288435</v>
      </c>
      <c r="L237">
        <f t="shared" si="22"/>
        <v>41.33395102409817</v>
      </c>
      <c r="M237">
        <f t="shared" si="23"/>
        <v>7.3228668158479524E-5</v>
      </c>
      <c r="N237">
        <f t="shared" si="24"/>
        <v>0.99992677133184149</v>
      </c>
      <c r="O237">
        <f t="shared" si="25"/>
        <v>0.99992677133184149</v>
      </c>
      <c r="P237">
        <f t="shared" si="26"/>
        <v>-7.3231349508331311E-5</v>
      </c>
    </row>
    <row r="238" spans="1:16" x14ac:dyDescent="0.3">
      <c r="A238" s="2">
        <f t="shared" si="27"/>
        <v>234</v>
      </c>
      <c r="B238" s="2">
        <v>25</v>
      </c>
      <c r="C238" s="2">
        <v>0.4</v>
      </c>
      <c r="D238" s="2">
        <v>20</v>
      </c>
      <c r="E238" s="2">
        <v>1</v>
      </c>
      <c r="F238" s="2">
        <v>60</v>
      </c>
      <c r="G238" s="2">
        <v>0.8</v>
      </c>
      <c r="H238" s="2">
        <v>40</v>
      </c>
      <c r="I238" s="2">
        <v>1</v>
      </c>
      <c r="J238" s="2">
        <v>0</v>
      </c>
      <c r="K238">
        <f t="shared" si="21"/>
        <v>73.96651883062205</v>
      </c>
      <c r="L238">
        <f t="shared" si="22"/>
        <v>37.358014774933686</v>
      </c>
      <c r="M238">
        <f t="shared" si="23"/>
        <v>0.99999999999999989</v>
      </c>
      <c r="N238">
        <f t="shared" si="24"/>
        <v>1.2622015172263576E-16</v>
      </c>
      <c r="O238">
        <f t="shared" si="25"/>
        <v>0.99999999999999989</v>
      </c>
      <c r="P238">
        <f t="shared" si="26"/>
        <v>-1.1102230246251565E-16</v>
      </c>
    </row>
    <row r="239" spans="1:16" x14ac:dyDescent="0.3">
      <c r="A239" s="2">
        <f t="shared" si="27"/>
        <v>235</v>
      </c>
      <c r="B239" s="2">
        <v>20</v>
      </c>
      <c r="C239" s="2">
        <v>0.6</v>
      </c>
      <c r="D239" s="2">
        <v>20</v>
      </c>
      <c r="E239" s="2">
        <v>1</v>
      </c>
      <c r="F239" s="2">
        <v>90</v>
      </c>
      <c r="G239" s="2">
        <v>0.9</v>
      </c>
      <c r="H239" s="2">
        <v>20</v>
      </c>
      <c r="I239" s="2">
        <v>1</v>
      </c>
      <c r="J239" s="2">
        <v>0</v>
      </c>
      <c r="K239">
        <f t="shared" si="21"/>
        <v>37.529978976036332</v>
      </c>
      <c r="L239">
        <f t="shared" si="22"/>
        <v>32.49261794517642</v>
      </c>
      <c r="M239">
        <f t="shared" si="23"/>
        <v>0.99355100459119605</v>
      </c>
      <c r="N239">
        <f t="shared" si="24"/>
        <v>6.4489954088039854E-3</v>
      </c>
      <c r="O239">
        <f t="shared" si="25"/>
        <v>0.99355100459119605</v>
      </c>
      <c r="P239">
        <f t="shared" si="26"/>
        <v>-6.4698800179488446E-3</v>
      </c>
    </row>
    <row r="240" spans="1:16" x14ac:dyDescent="0.3">
      <c r="A240" s="2">
        <f t="shared" si="27"/>
        <v>236</v>
      </c>
      <c r="B240" s="2">
        <v>25</v>
      </c>
      <c r="C240" s="2">
        <v>0.6</v>
      </c>
      <c r="D240" s="2">
        <v>25</v>
      </c>
      <c r="E240" s="2">
        <v>1</v>
      </c>
      <c r="F240" s="2">
        <v>45</v>
      </c>
      <c r="G240" s="2">
        <v>0.9</v>
      </c>
      <c r="H240" s="2">
        <v>40</v>
      </c>
      <c r="I240" s="2">
        <v>1</v>
      </c>
      <c r="J240" s="2">
        <v>0</v>
      </c>
      <c r="K240">
        <f t="shared" si="21"/>
        <v>70.645135767118376</v>
      </c>
      <c r="L240">
        <f t="shared" si="22"/>
        <v>42.649795503483197</v>
      </c>
      <c r="M240">
        <f t="shared" si="23"/>
        <v>0.99999999999930533</v>
      </c>
      <c r="N240">
        <f t="shared" si="24"/>
        <v>6.9466945719666519E-13</v>
      </c>
      <c r="O240">
        <f t="shared" si="25"/>
        <v>0.99999999999930533</v>
      </c>
      <c r="P240">
        <f t="shared" si="26"/>
        <v>-6.9466654650820178E-13</v>
      </c>
    </row>
    <row r="241" spans="1:16" x14ac:dyDescent="0.3">
      <c r="A241" s="2">
        <f t="shared" si="27"/>
        <v>237</v>
      </c>
      <c r="B241" s="2">
        <v>25</v>
      </c>
      <c r="C241" s="2">
        <v>0.4</v>
      </c>
      <c r="D241" s="2">
        <v>25</v>
      </c>
      <c r="E241" s="2">
        <v>1</v>
      </c>
      <c r="F241" s="2">
        <v>60</v>
      </c>
      <c r="G241" s="2">
        <v>0.9</v>
      </c>
      <c r="H241" s="2">
        <v>20</v>
      </c>
      <c r="I241" s="2">
        <v>0</v>
      </c>
      <c r="J241" s="2">
        <v>1</v>
      </c>
      <c r="K241">
        <f t="shared" si="21"/>
        <v>33.718060114204398</v>
      </c>
      <c r="L241">
        <f t="shared" si="22"/>
        <v>46.199347853855429</v>
      </c>
      <c r="M241">
        <f t="shared" si="23"/>
        <v>3.797029388996182E-6</v>
      </c>
      <c r="N241">
        <f t="shared" si="24"/>
        <v>0.99999620297061098</v>
      </c>
      <c r="O241">
        <f t="shared" si="25"/>
        <v>0.99999620297061098</v>
      </c>
      <c r="P241">
        <f t="shared" si="26"/>
        <v>-3.797036597753163E-6</v>
      </c>
    </row>
    <row r="242" spans="1:16" x14ac:dyDescent="0.3">
      <c r="A242" s="2">
        <f t="shared" si="27"/>
        <v>238</v>
      </c>
      <c r="B242" s="2">
        <v>15</v>
      </c>
      <c r="C242" s="2">
        <v>0.4</v>
      </c>
      <c r="D242" s="2">
        <v>25</v>
      </c>
      <c r="E242" s="2">
        <v>1</v>
      </c>
      <c r="F242" s="2">
        <v>45</v>
      </c>
      <c r="G242" s="2">
        <v>0.8</v>
      </c>
      <c r="H242" s="2">
        <v>10</v>
      </c>
      <c r="I242" s="2">
        <v>0</v>
      </c>
      <c r="J242" s="2">
        <v>1</v>
      </c>
      <c r="K242">
        <f t="shared" si="21"/>
        <v>13.811006773961173</v>
      </c>
      <c r="L242">
        <f t="shared" si="22"/>
        <v>43.567658895085373</v>
      </c>
      <c r="M242">
        <f t="shared" si="23"/>
        <v>1.1935762921536324E-13</v>
      </c>
      <c r="N242">
        <f t="shared" si="24"/>
        <v>0.99999999999988065</v>
      </c>
      <c r="O242">
        <f t="shared" si="25"/>
        <v>0.99999999999988065</v>
      </c>
      <c r="P242">
        <f t="shared" si="26"/>
        <v>-1.1934897514721145E-13</v>
      </c>
    </row>
    <row r="243" spans="1:16" x14ac:dyDescent="0.3">
      <c r="A243" s="2">
        <f t="shared" si="27"/>
        <v>239</v>
      </c>
      <c r="B243" s="2">
        <v>25</v>
      </c>
      <c r="C243" s="2">
        <v>0.4</v>
      </c>
      <c r="D243" s="2">
        <v>25</v>
      </c>
      <c r="E243" s="2">
        <v>1</v>
      </c>
      <c r="F243" s="2">
        <v>45</v>
      </c>
      <c r="G243" s="2">
        <v>1</v>
      </c>
      <c r="H243" s="2">
        <v>40</v>
      </c>
      <c r="I243" s="2">
        <v>1</v>
      </c>
      <c r="J243" s="2">
        <v>0</v>
      </c>
      <c r="K243">
        <f t="shared" si="21"/>
        <v>69.229712134530658</v>
      </c>
      <c r="L243">
        <f t="shared" si="22"/>
        <v>46.199347853855429</v>
      </c>
      <c r="M243">
        <f t="shared" si="23"/>
        <v>0.9999999999004503</v>
      </c>
      <c r="N243">
        <f t="shared" si="24"/>
        <v>9.9549681902774992E-11</v>
      </c>
      <c r="O243">
        <f t="shared" si="25"/>
        <v>0.9999999999004503</v>
      </c>
      <c r="P243">
        <f t="shared" si="26"/>
        <v>-9.9549701820204207E-11</v>
      </c>
    </row>
    <row r="244" spans="1:16" x14ac:dyDescent="0.3">
      <c r="A244" s="2">
        <f t="shared" si="27"/>
        <v>240</v>
      </c>
      <c r="B244" s="2">
        <v>25</v>
      </c>
      <c r="C244" s="2">
        <v>0.4</v>
      </c>
      <c r="D244" s="2">
        <v>25</v>
      </c>
      <c r="E244" s="2">
        <v>1</v>
      </c>
      <c r="F244" s="2">
        <v>60</v>
      </c>
      <c r="G244" s="2">
        <v>0.8</v>
      </c>
      <c r="H244" s="2">
        <v>40</v>
      </c>
      <c r="I244" s="2">
        <v>1</v>
      </c>
      <c r="J244" s="2">
        <v>0</v>
      </c>
      <c r="K244">
        <f t="shared" si="21"/>
        <v>73.96651883062205</v>
      </c>
      <c r="L244">
        <f t="shared" si="22"/>
        <v>46.199347853855429</v>
      </c>
      <c r="M244">
        <f t="shared" si="23"/>
        <v>0.99999999999912736</v>
      </c>
      <c r="N244">
        <f t="shared" si="24"/>
        <v>8.727118373603254E-13</v>
      </c>
      <c r="O244">
        <f t="shared" si="25"/>
        <v>0.99999999999912736</v>
      </c>
      <c r="P244">
        <f t="shared" si="26"/>
        <v>-8.7263529735575381E-13</v>
      </c>
    </row>
    <row r="245" spans="1:16" x14ac:dyDescent="0.3">
      <c r="A245" s="2">
        <f t="shared" si="27"/>
        <v>241</v>
      </c>
      <c r="B245" s="2">
        <v>25</v>
      </c>
      <c r="C245" s="2">
        <v>0.8</v>
      </c>
      <c r="D245" s="2">
        <v>15</v>
      </c>
      <c r="E245" s="2">
        <v>1</v>
      </c>
      <c r="F245" s="2">
        <v>60</v>
      </c>
      <c r="G245" s="2">
        <v>0.8</v>
      </c>
      <c r="H245" s="2">
        <v>10</v>
      </c>
      <c r="I245" s="2">
        <v>0</v>
      </c>
      <c r="J245" s="2">
        <v>1</v>
      </c>
      <c r="K245">
        <f t="shared" si="21"/>
        <v>15.716966204877139</v>
      </c>
      <c r="L245">
        <f t="shared" si="22"/>
        <v>21.417576995267474</v>
      </c>
      <c r="M245">
        <f t="shared" si="23"/>
        <v>3.3327778474361806E-3</v>
      </c>
      <c r="N245">
        <f t="shared" si="24"/>
        <v>0.99666722215256387</v>
      </c>
      <c r="O245">
        <f t="shared" si="25"/>
        <v>0.99666722215256387</v>
      </c>
      <c r="P245">
        <f t="shared" si="26"/>
        <v>-3.3383439219603801E-3</v>
      </c>
    </row>
    <row r="246" spans="1:16" x14ac:dyDescent="0.3">
      <c r="A246" s="2">
        <f t="shared" si="27"/>
        <v>242</v>
      </c>
      <c r="B246" s="2">
        <v>20</v>
      </c>
      <c r="C246" s="2">
        <v>0.4</v>
      </c>
      <c r="D246" s="2">
        <v>15</v>
      </c>
      <c r="E246" s="2">
        <v>1</v>
      </c>
      <c r="F246" s="2">
        <v>60</v>
      </c>
      <c r="G246" s="2">
        <v>1</v>
      </c>
      <c r="H246" s="2">
        <v>40</v>
      </c>
      <c r="I246" s="2">
        <v>1</v>
      </c>
      <c r="J246" s="2">
        <v>0</v>
      </c>
      <c r="K246">
        <f t="shared" si="21"/>
        <v>71.135671565446629</v>
      </c>
      <c r="L246">
        <f t="shared" si="22"/>
        <v>27.200837216626923</v>
      </c>
      <c r="M246">
        <f t="shared" si="23"/>
        <v>1</v>
      </c>
      <c r="N246">
        <f t="shared" si="24"/>
        <v>8.3050811236025684E-20</v>
      </c>
      <c r="O246">
        <f t="shared" si="25"/>
        <v>1</v>
      </c>
      <c r="P246">
        <f t="shared" si="26"/>
        <v>0</v>
      </c>
    </row>
    <row r="247" spans="1:16" x14ac:dyDescent="0.3">
      <c r="A247" s="2">
        <f t="shared" si="27"/>
        <v>243</v>
      </c>
      <c r="B247" s="2">
        <v>25</v>
      </c>
      <c r="C247" s="2">
        <v>0.8</v>
      </c>
      <c r="D247" s="2">
        <v>20</v>
      </c>
      <c r="E247" s="2">
        <v>1</v>
      </c>
      <c r="F247" s="2">
        <v>45</v>
      </c>
      <c r="G247" s="2">
        <v>0.9</v>
      </c>
      <c r="H247" s="2">
        <v>40</v>
      </c>
      <c r="I247" s="2">
        <v>1</v>
      </c>
      <c r="J247" s="2">
        <v>0</v>
      </c>
      <c r="K247">
        <f t="shared" si="21"/>
        <v>70.645135767118376</v>
      </c>
      <c r="L247">
        <f t="shared" si="22"/>
        <v>30.258910074189213</v>
      </c>
      <c r="M247">
        <f t="shared" si="23"/>
        <v>1</v>
      </c>
      <c r="N247">
        <f t="shared" si="24"/>
        <v>2.8872542989758204E-18</v>
      </c>
      <c r="O247">
        <f t="shared" si="25"/>
        <v>1</v>
      </c>
      <c r="P247">
        <f t="shared" si="26"/>
        <v>0</v>
      </c>
    </row>
    <row r="248" spans="1:16" x14ac:dyDescent="0.3">
      <c r="A248" s="2">
        <f t="shared" si="27"/>
        <v>244</v>
      </c>
      <c r="B248" s="2">
        <v>20</v>
      </c>
      <c r="C248" s="2">
        <v>0.4</v>
      </c>
      <c r="D248" s="2">
        <v>15</v>
      </c>
      <c r="E248" s="2">
        <v>1</v>
      </c>
      <c r="F248" s="2">
        <v>45</v>
      </c>
      <c r="G248" s="2">
        <v>0.9</v>
      </c>
      <c r="H248" s="2">
        <v>20</v>
      </c>
      <c r="I248" s="2">
        <v>1</v>
      </c>
      <c r="J248" s="2">
        <v>0</v>
      </c>
      <c r="K248">
        <f t="shared" si="21"/>
        <v>31.812100683288435</v>
      </c>
      <c r="L248">
        <f t="shared" si="22"/>
        <v>27.200837216626923</v>
      </c>
      <c r="M248">
        <f t="shared" si="23"/>
        <v>0.99015856405922276</v>
      </c>
      <c r="N248">
        <f t="shared" si="24"/>
        <v>9.8414359407772867E-3</v>
      </c>
      <c r="O248">
        <f t="shared" si="25"/>
        <v>0.99015856405922276</v>
      </c>
      <c r="P248">
        <f t="shared" si="26"/>
        <v>-9.8901829622737563E-3</v>
      </c>
    </row>
    <row r="249" spans="1:16" x14ac:dyDescent="0.3">
      <c r="A249" s="2">
        <f t="shared" si="27"/>
        <v>245</v>
      </c>
      <c r="B249" s="2">
        <v>25</v>
      </c>
      <c r="C249" s="2">
        <v>0.6</v>
      </c>
      <c r="D249" s="2">
        <v>25</v>
      </c>
      <c r="E249" s="2">
        <v>1</v>
      </c>
      <c r="F249" s="2">
        <v>90</v>
      </c>
      <c r="G249" s="2">
        <v>0.9</v>
      </c>
      <c r="H249" s="2">
        <v>20</v>
      </c>
      <c r="I249" s="2">
        <v>0</v>
      </c>
      <c r="J249" s="2">
        <v>1</v>
      </c>
      <c r="K249">
        <f t="shared" si="21"/>
        <v>37.529978976036332</v>
      </c>
      <c r="L249">
        <f t="shared" si="22"/>
        <v>42.649795503483197</v>
      </c>
      <c r="M249">
        <f t="shared" si="23"/>
        <v>5.9416057446210974E-3</v>
      </c>
      <c r="N249">
        <f t="shared" si="24"/>
        <v>0.9940583942553789</v>
      </c>
      <c r="O249">
        <f t="shared" si="25"/>
        <v>0.9940583942553789</v>
      </c>
      <c r="P249">
        <f t="shared" si="26"/>
        <v>-5.9593273152912622E-3</v>
      </c>
    </row>
    <row r="250" spans="1:16" x14ac:dyDescent="0.3">
      <c r="A250" s="2">
        <f t="shared" si="27"/>
        <v>246</v>
      </c>
      <c r="B250" s="2">
        <v>25</v>
      </c>
      <c r="C250" s="2">
        <v>0.8</v>
      </c>
      <c r="D250" s="2">
        <v>15</v>
      </c>
      <c r="E250" s="2">
        <v>1</v>
      </c>
      <c r="F250" s="2">
        <v>60</v>
      </c>
      <c r="G250" s="2">
        <v>0.9</v>
      </c>
      <c r="H250" s="2">
        <v>20</v>
      </c>
      <c r="I250" s="2">
        <v>1</v>
      </c>
      <c r="J250" s="2">
        <v>0</v>
      </c>
      <c r="K250">
        <f t="shared" si="21"/>
        <v>33.718060114204398</v>
      </c>
      <c r="L250">
        <f t="shared" si="22"/>
        <v>21.417576995267474</v>
      </c>
      <c r="M250">
        <f t="shared" si="23"/>
        <v>0.99999545047473803</v>
      </c>
      <c r="N250">
        <f t="shared" si="24"/>
        <v>4.5495252619747412E-6</v>
      </c>
      <c r="O250">
        <f t="shared" si="25"/>
        <v>0.99999545047473803</v>
      </c>
      <c r="P250">
        <f t="shared" si="26"/>
        <v>-4.549535611086836E-6</v>
      </c>
    </row>
    <row r="251" spans="1:16" x14ac:dyDescent="0.3">
      <c r="A251" s="2">
        <f t="shared" si="27"/>
        <v>247</v>
      </c>
      <c r="B251" s="2">
        <v>20</v>
      </c>
      <c r="C251" s="2">
        <v>0.4</v>
      </c>
      <c r="D251" s="2">
        <v>20</v>
      </c>
      <c r="E251" s="2">
        <v>1</v>
      </c>
      <c r="F251" s="2">
        <v>45</v>
      </c>
      <c r="G251" s="2">
        <v>0.8</v>
      </c>
      <c r="H251" s="2">
        <v>10</v>
      </c>
      <c r="I251" s="2">
        <v>0</v>
      </c>
      <c r="J251" s="2">
        <v>1</v>
      </c>
      <c r="K251">
        <f t="shared" si="21"/>
        <v>13.811006773961173</v>
      </c>
      <c r="L251">
        <f t="shared" si="22"/>
        <v>36.042170295548658</v>
      </c>
      <c r="M251">
        <f t="shared" si="23"/>
        <v>2.2137488887347283E-10</v>
      </c>
      <c r="N251">
        <f t="shared" si="24"/>
        <v>0.99999999977862508</v>
      </c>
      <c r="O251">
        <f t="shared" si="25"/>
        <v>0.99999999977862508</v>
      </c>
      <c r="P251">
        <f t="shared" si="26"/>
        <v>-2.2137491842108083E-10</v>
      </c>
    </row>
    <row r="252" spans="1:16" x14ac:dyDescent="0.3">
      <c r="A252" s="2">
        <f t="shared" si="27"/>
        <v>248</v>
      </c>
      <c r="B252" s="2">
        <v>15</v>
      </c>
      <c r="C252" s="2">
        <v>0.8</v>
      </c>
      <c r="D252" s="2">
        <v>15</v>
      </c>
      <c r="E252" s="2">
        <v>1</v>
      </c>
      <c r="F252" s="2">
        <v>45</v>
      </c>
      <c r="G252" s="2">
        <v>1</v>
      </c>
      <c r="H252" s="2">
        <v>10</v>
      </c>
      <c r="I252" s="2">
        <v>0</v>
      </c>
      <c r="J252" s="2">
        <v>1</v>
      </c>
      <c r="K252">
        <f t="shared" si="21"/>
        <v>10.980159508785752</v>
      </c>
      <c r="L252">
        <f t="shared" si="22"/>
        <v>18.785888036497418</v>
      </c>
      <c r="M252">
        <f t="shared" si="23"/>
        <v>4.0722860821706697E-4</v>
      </c>
      <c r="N252">
        <f t="shared" si="24"/>
        <v>0.99959277139178293</v>
      </c>
      <c r="O252">
        <f t="shared" si="25"/>
        <v>0.99959277139178293</v>
      </c>
      <c r="P252">
        <f t="shared" si="26"/>
        <v>-4.0731154830455995E-4</v>
      </c>
    </row>
    <row r="253" spans="1:16" x14ac:dyDescent="0.3">
      <c r="A253" s="2">
        <f t="shared" si="27"/>
        <v>249</v>
      </c>
      <c r="B253" s="2">
        <v>25</v>
      </c>
      <c r="C253" s="2">
        <v>0.4</v>
      </c>
      <c r="D253" s="2">
        <v>15</v>
      </c>
      <c r="E253" s="2">
        <v>1</v>
      </c>
      <c r="F253" s="2">
        <v>90</v>
      </c>
      <c r="G253" s="2">
        <v>0.9</v>
      </c>
      <c r="H253" s="2">
        <v>40</v>
      </c>
      <c r="I253" s="2">
        <v>1</v>
      </c>
      <c r="J253" s="2">
        <v>0</v>
      </c>
      <c r="K253">
        <f t="shared" si="21"/>
        <v>76.363014059866273</v>
      </c>
      <c r="L253">
        <f t="shared" si="22"/>
        <v>28.51668169601195</v>
      </c>
      <c r="M253">
        <f t="shared" si="23"/>
        <v>1</v>
      </c>
      <c r="N253">
        <f t="shared" si="24"/>
        <v>1.6618884712224712E-21</v>
      </c>
      <c r="O253">
        <f t="shared" si="25"/>
        <v>1</v>
      </c>
      <c r="P253">
        <f t="shared" si="26"/>
        <v>0</v>
      </c>
    </row>
    <row r="254" spans="1:16" x14ac:dyDescent="0.3">
      <c r="A254" s="2">
        <f t="shared" si="27"/>
        <v>250</v>
      </c>
      <c r="B254" s="2">
        <v>20</v>
      </c>
      <c r="C254" s="2">
        <v>0.6</v>
      </c>
      <c r="D254" s="2">
        <v>15</v>
      </c>
      <c r="E254" s="2">
        <v>1</v>
      </c>
      <c r="F254" s="2">
        <v>60</v>
      </c>
      <c r="G254" s="2">
        <v>0.9</v>
      </c>
      <c r="H254" s="2">
        <v>10</v>
      </c>
      <c r="I254" s="2">
        <v>0</v>
      </c>
      <c r="J254" s="2">
        <v>1</v>
      </c>
      <c r="K254">
        <f t="shared" si="21"/>
        <v>14.301542572289428</v>
      </c>
      <c r="L254">
        <f t="shared" si="22"/>
        <v>23.651284866254684</v>
      </c>
      <c r="M254">
        <f t="shared" si="23"/>
        <v>8.6980267270749949E-5</v>
      </c>
      <c r="N254">
        <f t="shared" si="24"/>
        <v>0.99991301973272928</v>
      </c>
      <c r="O254">
        <f t="shared" si="25"/>
        <v>0.99991301973272928</v>
      </c>
      <c r="P254">
        <f t="shared" si="26"/>
        <v>-8.6984050273533064E-5</v>
      </c>
    </row>
    <row r="255" spans="1:16" x14ac:dyDescent="0.3">
      <c r="A255" s="2">
        <f t="shared" si="27"/>
        <v>251</v>
      </c>
      <c r="B255" s="2">
        <v>15</v>
      </c>
      <c r="C255" s="2">
        <v>0.6</v>
      </c>
      <c r="D255" s="2">
        <v>25</v>
      </c>
      <c r="E255" s="2">
        <v>1</v>
      </c>
      <c r="F255" s="2">
        <v>90</v>
      </c>
      <c r="G255" s="2">
        <v>1</v>
      </c>
      <c r="H255" s="2">
        <v>40</v>
      </c>
      <c r="I255" s="2">
        <v>1</v>
      </c>
      <c r="J255" s="2">
        <v>0</v>
      </c>
      <c r="K255">
        <f t="shared" si="21"/>
        <v>74.947590427278556</v>
      </c>
      <c r="L255">
        <f t="shared" si="22"/>
        <v>40.018106544713142</v>
      </c>
      <c r="M255">
        <f t="shared" si="23"/>
        <v>0.99999999999999944</v>
      </c>
      <c r="N255">
        <f t="shared" si="24"/>
        <v>6.7657803452456576E-16</v>
      </c>
      <c r="O255">
        <f t="shared" si="25"/>
        <v>0.99999999999999944</v>
      </c>
      <c r="P255">
        <f t="shared" si="26"/>
        <v>-5.5511151231257847E-16</v>
      </c>
    </row>
    <row r="256" spans="1:16" x14ac:dyDescent="0.3">
      <c r="A256" s="2">
        <f t="shared" si="27"/>
        <v>252</v>
      </c>
      <c r="B256" s="2">
        <v>20</v>
      </c>
      <c r="C256" s="2">
        <v>0.8</v>
      </c>
      <c r="D256" s="2">
        <v>25</v>
      </c>
      <c r="E256" s="2">
        <v>1</v>
      </c>
      <c r="F256" s="2">
        <v>60</v>
      </c>
      <c r="G256" s="2">
        <v>1</v>
      </c>
      <c r="H256" s="2">
        <v>10</v>
      </c>
      <c r="I256" s="2">
        <v>0</v>
      </c>
      <c r="J256" s="2">
        <v>1</v>
      </c>
      <c r="K256">
        <f t="shared" si="21"/>
        <v>12.886118939701717</v>
      </c>
      <c r="L256">
        <f t="shared" si="22"/>
        <v>37.784398673725924</v>
      </c>
      <c r="M256">
        <f t="shared" si="23"/>
        <v>1.5374977986035171E-11</v>
      </c>
      <c r="N256">
        <f t="shared" si="24"/>
        <v>0.99999999998462508</v>
      </c>
      <c r="O256">
        <f t="shared" si="25"/>
        <v>0.99999999998462508</v>
      </c>
      <c r="P256">
        <f t="shared" si="26"/>
        <v>-1.5374923556639673E-11</v>
      </c>
    </row>
    <row r="257" spans="1:16" x14ac:dyDescent="0.3">
      <c r="A257" s="2">
        <f t="shared" si="27"/>
        <v>253</v>
      </c>
      <c r="B257" s="2">
        <v>25</v>
      </c>
      <c r="C257" s="2">
        <v>0.4</v>
      </c>
      <c r="D257" s="2">
        <v>15</v>
      </c>
      <c r="E257" s="2">
        <v>1</v>
      </c>
      <c r="F257" s="2">
        <v>60</v>
      </c>
      <c r="G257" s="2">
        <v>1</v>
      </c>
      <c r="H257" s="2">
        <v>20</v>
      </c>
      <c r="I257" s="2">
        <v>1</v>
      </c>
      <c r="J257" s="2">
        <v>0</v>
      </c>
      <c r="K257">
        <f t="shared" si="21"/>
        <v>32.302636481616688</v>
      </c>
      <c r="L257">
        <f t="shared" si="22"/>
        <v>28.51668169601195</v>
      </c>
      <c r="M257">
        <f t="shared" si="23"/>
        <v>0.97781609936249736</v>
      </c>
      <c r="N257">
        <f t="shared" si="24"/>
        <v>2.2183900637502734E-2</v>
      </c>
      <c r="O257">
        <f t="shared" si="25"/>
        <v>0.97781609936249736</v>
      </c>
      <c r="P257">
        <f t="shared" si="26"/>
        <v>-2.2433664090238881E-2</v>
      </c>
    </row>
    <row r="258" spans="1:16" x14ac:dyDescent="0.3">
      <c r="A258" s="2">
        <f t="shared" si="27"/>
        <v>254</v>
      </c>
      <c r="B258" s="2">
        <v>25</v>
      </c>
      <c r="C258" s="2">
        <v>0.8</v>
      </c>
      <c r="D258" s="2">
        <v>25</v>
      </c>
      <c r="E258" s="2">
        <v>1</v>
      </c>
      <c r="F258" s="2">
        <v>45</v>
      </c>
      <c r="G258" s="2">
        <v>1</v>
      </c>
      <c r="H258" s="2">
        <v>40</v>
      </c>
      <c r="I258" s="2">
        <v>1</v>
      </c>
      <c r="J258" s="2">
        <v>0</v>
      </c>
      <c r="K258">
        <f t="shared" si="21"/>
        <v>69.229712134530658</v>
      </c>
      <c r="L258">
        <f t="shared" si="22"/>
        <v>39.100243153110959</v>
      </c>
      <c r="M258">
        <f t="shared" si="23"/>
        <v>0.99999999999991784</v>
      </c>
      <c r="N258">
        <f t="shared" si="24"/>
        <v>8.2212504510460281E-14</v>
      </c>
      <c r="O258">
        <f t="shared" si="25"/>
        <v>0.99999999999991784</v>
      </c>
      <c r="P258">
        <f t="shared" si="26"/>
        <v>-8.2156503822264954E-14</v>
      </c>
    </row>
    <row r="259" spans="1:16" x14ac:dyDescent="0.3">
      <c r="A259" s="2">
        <f t="shared" si="27"/>
        <v>255</v>
      </c>
      <c r="B259" s="2">
        <v>25</v>
      </c>
      <c r="C259" s="2">
        <v>0.8</v>
      </c>
      <c r="D259" s="2">
        <v>15</v>
      </c>
      <c r="E259" s="2">
        <v>1</v>
      </c>
      <c r="F259" s="2">
        <v>60</v>
      </c>
      <c r="G259" s="2">
        <v>0.9</v>
      </c>
      <c r="H259" s="2">
        <v>20</v>
      </c>
      <c r="I259" s="2">
        <v>1</v>
      </c>
      <c r="J259" s="2">
        <v>0</v>
      </c>
      <c r="K259">
        <f t="shared" si="21"/>
        <v>33.718060114204398</v>
      </c>
      <c r="L259">
        <f t="shared" si="22"/>
        <v>21.417576995267474</v>
      </c>
      <c r="M259">
        <f t="shared" si="23"/>
        <v>0.99999545047473803</v>
      </c>
      <c r="N259">
        <f t="shared" si="24"/>
        <v>4.5495252619747412E-6</v>
      </c>
      <c r="O259">
        <f t="shared" si="25"/>
        <v>0.99999545047473803</v>
      </c>
      <c r="P259">
        <f t="shared" si="26"/>
        <v>-4.549535611086836E-6</v>
      </c>
    </row>
    <row r="260" spans="1:16" x14ac:dyDescent="0.3">
      <c r="A260" s="2">
        <f t="shared" si="27"/>
        <v>256</v>
      </c>
      <c r="B260" s="2">
        <v>25</v>
      </c>
      <c r="C260" s="2">
        <v>0.4</v>
      </c>
      <c r="D260" s="2">
        <v>15</v>
      </c>
      <c r="E260" s="2">
        <v>1</v>
      </c>
      <c r="F260" s="2">
        <v>90</v>
      </c>
      <c r="G260" s="2">
        <v>0.8</v>
      </c>
      <c r="H260" s="2">
        <v>40</v>
      </c>
      <c r="I260" s="2">
        <v>1</v>
      </c>
      <c r="J260" s="2">
        <v>0</v>
      </c>
      <c r="K260">
        <f t="shared" si="21"/>
        <v>77.778437692453977</v>
      </c>
      <c r="L260">
        <f t="shared" si="22"/>
        <v>28.51668169601195</v>
      </c>
      <c r="M260">
        <f t="shared" si="23"/>
        <v>1</v>
      </c>
      <c r="N260">
        <f t="shared" si="24"/>
        <v>4.0354428562907289E-22</v>
      </c>
      <c r="O260">
        <f t="shared" si="25"/>
        <v>1</v>
      </c>
      <c r="P260">
        <f t="shared" si="26"/>
        <v>0</v>
      </c>
    </row>
    <row r="261" spans="1:16" x14ac:dyDescent="0.3">
      <c r="A261" s="2">
        <f t="shared" si="27"/>
        <v>257</v>
      </c>
      <c r="B261" s="2">
        <v>20</v>
      </c>
      <c r="C261" s="2">
        <v>0.6</v>
      </c>
      <c r="D261" s="2">
        <v>15</v>
      </c>
      <c r="E261" s="2">
        <v>1</v>
      </c>
      <c r="F261" s="2">
        <v>60</v>
      </c>
      <c r="G261" s="2">
        <v>1</v>
      </c>
      <c r="H261" s="2">
        <v>20</v>
      </c>
      <c r="I261" s="2">
        <v>1</v>
      </c>
      <c r="J261" s="2">
        <v>0</v>
      </c>
      <c r="K261">
        <f t="shared" si="21"/>
        <v>32.302636481616688</v>
      </c>
      <c r="L261">
        <f t="shared" si="22"/>
        <v>23.651284866254684</v>
      </c>
      <c r="M261">
        <f t="shared" si="23"/>
        <v>0.99982514027735625</v>
      </c>
      <c r="N261">
        <f t="shared" si="24"/>
        <v>1.74859722643782E-4</v>
      </c>
      <c r="O261">
        <f t="shared" si="25"/>
        <v>0.99982514027735625</v>
      </c>
      <c r="P261">
        <f t="shared" si="26"/>
        <v>-1.7487501238745088E-4</v>
      </c>
    </row>
    <row r="262" spans="1:16" x14ac:dyDescent="0.3">
      <c r="A262" s="2">
        <f t="shared" si="27"/>
        <v>258</v>
      </c>
      <c r="B262" s="2">
        <v>15</v>
      </c>
      <c r="C262" s="2">
        <v>0.4</v>
      </c>
      <c r="D262" s="2">
        <v>25</v>
      </c>
      <c r="E262" s="2">
        <v>1</v>
      </c>
      <c r="F262" s="2">
        <v>45</v>
      </c>
      <c r="G262" s="2">
        <v>0.9</v>
      </c>
      <c r="H262" s="2">
        <v>10</v>
      </c>
      <c r="I262" s="2">
        <v>0</v>
      </c>
      <c r="J262" s="2">
        <v>1</v>
      </c>
      <c r="K262">
        <f t="shared" ref="K262:K325" si="28">$F$3*F262+$G$3*G262+$H$3*H262</f>
        <v>12.395583141373463</v>
      </c>
      <c r="L262">
        <f t="shared" ref="L262:L325" si="29">$B$3*B262+$C$3*C262+$D$3*D262+$E$3*E262</f>
        <v>43.567658895085373</v>
      </c>
      <c r="M262">
        <f t="shared" ref="M262:M325" si="30">EXP(K262)/(EXP(K262)+EXP(L262))</f>
        <v>2.8982744660757503E-14</v>
      </c>
      <c r="N262">
        <f t="shared" ref="N262:N325" si="31">EXP(L262)/(EXP(L262)+EXP(K262))</f>
        <v>0.99999999999997102</v>
      </c>
      <c r="O262">
        <f t="shared" ref="O262:O325" si="32">I262*M262+J262*N262</f>
        <v>0.99999999999997102</v>
      </c>
      <c r="P262">
        <f t="shared" ref="P262:P325" si="33">LN(O262)</f>
        <v>-2.8976820942717009E-14</v>
      </c>
    </row>
    <row r="263" spans="1:16" x14ac:dyDescent="0.3">
      <c r="A263" s="2">
        <f t="shared" ref="A263:A326" si="34">A262+1</f>
        <v>259</v>
      </c>
      <c r="B263" s="2">
        <v>20</v>
      </c>
      <c r="C263" s="2">
        <v>0.4</v>
      </c>
      <c r="D263" s="2">
        <v>20</v>
      </c>
      <c r="E263" s="2">
        <v>1</v>
      </c>
      <c r="F263" s="2">
        <v>45</v>
      </c>
      <c r="G263" s="2">
        <v>0.9</v>
      </c>
      <c r="H263" s="2">
        <v>20</v>
      </c>
      <c r="I263" s="2">
        <v>0</v>
      </c>
      <c r="J263" s="2">
        <v>1</v>
      </c>
      <c r="K263">
        <f t="shared" si="28"/>
        <v>31.812100683288435</v>
      </c>
      <c r="L263">
        <f t="shared" si="29"/>
        <v>36.042170295548658</v>
      </c>
      <c r="M263">
        <f t="shared" si="30"/>
        <v>1.4342671924500543E-2</v>
      </c>
      <c r="N263">
        <f t="shared" si="31"/>
        <v>0.98565732807549955</v>
      </c>
      <c r="O263">
        <f t="shared" si="32"/>
        <v>0.98565732807549955</v>
      </c>
      <c r="P263">
        <f t="shared" si="33"/>
        <v>-1.4446522233419976E-2</v>
      </c>
    </row>
    <row r="264" spans="1:16" x14ac:dyDescent="0.3">
      <c r="A264" s="2">
        <f t="shared" si="34"/>
        <v>260</v>
      </c>
      <c r="B264" s="2">
        <v>15</v>
      </c>
      <c r="C264" s="2">
        <v>0.8</v>
      </c>
      <c r="D264" s="2">
        <v>25</v>
      </c>
      <c r="E264" s="2">
        <v>1</v>
      </c>
      <c r="F264" s="2">
        <v>45</v>
      </c>
      <c r="G264" s="2">
        <v>0.8</v>
      </c>
      <c r="H264" s="2">
        <v>40</v>
      </c>
      <c r="I264" s="2">
        <v>1</v>
      </c>
      <c r="J264" s="2">
        <v>0</v>
      </c>
      <c r="K264">
        <f t="shared" si="28"/>
        <v>72.060559399706079</v>
      </c>
      <c r="L264">
        <f t="shared" si="29"/>
        <v>36.468554194340904</v>
      </c>
      <c r="M264">
        <f t="shared" si="30"/>
        <v>0.99999999999999967</v>
      </c>
      <c r="N264">
        <f t="shared" si="31"/>
        <v>3.4880968857525286E-16</v>
      </c>
      <c r="O264">
        <f t="shared" si="32"/>
        <v>0.99999999999999967</v>
      </c>
      <c r="P264">
        <f t="shared" si="33"/>
        <v>-3.3306690738754701E-16</v>
      </c>
    </row>
    <row r="265" spans="1:16" x14ac:dyDescent="0.3">
      <c r="A265" s="2">
        <f t="shared" si="34"/>
        <v>261</v>
      </c>
      <c r="B265" s="2">
        <v>15</v>
      </c>
      <c r="C265" s="2">
        <v>0.6</v>
      </c>
      <c r="D265" s="2">
        <v>15</v>
      </c>
      <c r="E265" s="2">
        <v>1</v>
      </c>
      <c r="F265" s="2">
        <v>45</v>
      </c>
      <c r="G265" s="2">
        <v>1</v>
      </c>
      <c r="H265" s="2">
        <v>40</v>
      </c>
      <c r="I265" s="2">
        <v>1</v>
      </c>
      <c r="J265" s="2">
        <v>0</v>
      </c>
      <c r="K265">
        <f t="shared" si="28"/>
        <v>69.229712134530658</v>
      </c>
      <c r="L265">
        <f t="shared" si="29"/>
        <v>22.335440386869656</v>
      </c>
      <c r="M265">
        <f t="shared" si="30"/>
        <v>1</v>
      </c>
      <c r="N265">
        <f t="shared" si="31"/>
        <v>4.3060250018788979E-21</v>
      </c>
      <c r="O265">
        <f t="shared" si="32"/>
        <v>1</v>
      </c>
      <c r="P265">
        <f t="shared" si="33"/>
        <v>0</v>
      </c>
    </row>
    <row r="266" spans="1:16" x14ac:dyDescent="0.3">
      <c r="A266" s="2">
        <f t="shared" si="34"/>
        <v>262</v>
      </c>
      <c r="B266" s="2">
        <v>15</v>
      </c>
      <c r="C266" s="2">
        <v>0.6</v>
      </c>
      <c r="D266" s="2">
        <v>20</v>
      </c>
      <c r="E266" s="2">
        <v>1</v>
      </c>
      <c r="F266" s="2">
        <v>60</v>
      </c>
      <c r="G266" s="2">
        <v>1</v>
      </c>
      <c r="H266" s="2">
        <v>10</v>
      </c>
      <c r="I266" s="2">
        <v>0</v>
      </c>
      <c r="J266" s="2">
        <v>1</v>
      </c>
      <c r="K266">
        <f t="shared" si="28"/>
        <v>12.886118939701717</v>
      </c>
      <c r="L266">
        <f t="shared" si="29"/>
        <v>31.176773465791396</v>
      </c>
      <c r="M266">
        <f t="shared" si="30"/>
        <v>1.1388582283922244E-8</v>
      </c>
      <c r="N266">
        <f t="shared" si="31"/>
        <v>0.9999999886114177</v>
      </c>
      <c r="O266">
        <f t="shared" si="32"/>
        <v>0.9999999886114177</v>
      </c>
      <c r="P266">
        <f t="shared" si="33"/>
        <v>-1.1388582364281864E-8</v>
      </c>
    </row>
    <row r="267" spans="1:16" x14ac:dyDescent="0.3">
      <c r="A267" s="2">
        <f t="shared" si="34"/>
        <v>263</v>
      </c>
      <c r="B267" s="2">
        <v>25</v>
      </c>
      <c r="C267" s="2">
        <v>0.8</v>
      </c>
      <c r="D267" s="2">
        <v>20</v>
      </c>
      <c r="E267" s="2">
        <v>1</v>
      </c>
      <c r="F267" s="2">
        <v>45</v>
      </c>
      <c r="G267" s="2">
        <v>1</v>
      </c>
      <c r="H267" s="2">
        <v>40</v>
      </c>
      <c r="I267" s="2">
        <v>1</v>
      </c>
      <c r="J267" s="2">
        <v>0</v>
      </c>
      <c r="K267">
        <f t="shared" si="28"/>
        <v>69.229712134530658</v>
      </c>
      <c r="L267">
        <f t="shared" si="29"/>
        <v>30.258910074189213</v>
      </c>
      <c r="M267">
        <f t="shared" si="30"/>
        <v>1</v>
      </c>
      <c r="N267">
        <f t="shared" si="31"/>
        <v>1.1890379330921727E-17</v>
      </c>
      <c r="O267">
        <f t="shared" si="32"/>
        <v>1</v>
      </c>
      <c r="P267">
        <f t="shared" si="33"/>
        <v>0</v>
      </c>
    </row>
    <row r="268" spans="1:16" x14ac:dyDescent="0.3">
      <c r="A268" s="2">
        <f t="shared" si="34"/>
        <v>264</v>
      </c>
      <c r="B268" s="2">
        <v>15</v>
      </c>
      <c r="C268" s="2">
        <v>0.6</v>
      </c>
      <c r="D268" s="2">
        <v>20</v>
      </c>
      <c r="E268" s="2">
        <v>1</v>
      </c>
      <c r="F268" s="2">
        <v>60</v>
      </c>
      <c r="G268" s="2">
        <v>1</v>
      </c>
      <c r="H268" s="2">
        <v>10</v>
      </c>
      <c r="I268" s="2">
        <v>0</v>
      </c>
      <c r="J268" s="2">
        <v>1</v>
      </c>
      <c r="K268">
        <f t="shared" si="28"/>
        <v>12.886118939701717</v>
      </c>
      <c r="L268">
        <f t="shared" si="29"/>
        <v>31.176773465791396</v>
      </c>
      <c r="M268">
        <f t="shared" si="30"/>
        <v>1.1388582283922244E-8</v>
      </c>
      <c r="N268">
        <f t="shared" si="31"/>
        <v>0.9999999886114177</v>
      </c>
      <c r="O268">
        <f t="shared" si="32"/>
        <v>0.9999999886114177</v>
      </c>
      <c r="P268">
        <f t="shared" si="33"/>
        <v>-1.1388582364281864E-8</v>
      </c>
    </row>
    <row r="269" spans="1:16" x14ac:dyDescent="0.3">
      <c r="A269" s="2">
        <f t="shared" si="34"/>
        <v>265</v>
      </c>
      <c r="B269" s="2">
        <v>20</v>
      </c>
      <c r="C269" s="2">
        <v>0.6</v>
      </c>
      <c r="D269" s="2">
        <v>15</v>
      </c>
      <c r="E269" s="2">
        <v>1</v>
      </c>
      <c r="F269" s="2">
        <v>90</v>
      </c>
      <c r="G269" s="2">
        <v>1</v>
      </c>
      <c r="H269" s="2">
        <v>40</v>
      </c>
      <c r="I269" s="2">
        <v>1</v>
      </c>
      <c r="J269" s="2">
        <v>0</v>
      </c>
      <c r="K269">
        <f t="shared" si="28"/>
        <v>74.947590427278556</v>
      </c>
      <c r="L269">
        <f t="shared" si="29"/>
        <v>23.651284866254684</v>
      </c>
      <c r="M269">
        <f t="shared" si="30"/>
        <v>1</v>
      </c>
      <c r="N269">
        <f t="shared" si="31"/>
        <v>5.2759121183160969E-23</v>
      </c>
      <c r="O269">
        <f t="shared" si="32"/>
        <v>1</v>
      </c>
      <c r="P269">
        <f t="shared" si="33"/>
        <v>0</v>
      </c>
    </row>
    <row r="270" spans="1:16" x14ac:dyDescent="0.3">
      <c r="A270" s="2">
        <f t="shared" si="34"/>
        <v>266</v>
      </c>
      <c r="B270" s="2">
        <v>20</v>
      </c>
      <c r="C270" s="2">
        <v>0.8</v>
      </c>
      <c r="D270" s="2">
        <v>25</v>
      </c>
      <c r="E270" s="2">
        <v>1</v>
      </c>
      <c r="F270" s="2">
        <v>90</v>
      </c>
      <c r="G270" s="2">
        <v>0.9</v>
      </c>
      <c r="H270" s="2">
        <v>20</v>
      </c>
      <c r="I270" s="2">
        <v>0</v>
      </c>
      <c r="J270" s="2">
        <v>1</v>
      </c>
      <c r="K270">
        <f t="shared" si="28"/>
        <v>37.529978976036332</v>
      </c>
      <c r="L270">
        <f t="shared" si="29"/>
        <v>37.784398673725924</v>
      </c>
      <c r="M270">
        <f t="shared" si="30"/>
        <v>0.43673596150449095</v>
      </c>
      <c r="N270">
        <f t="shared" si="31"/>
        <v>0.56326403849550899</v>
      </c>
      <c r="O270">
        <f t="shared" si="32"/>
        <v>0.56326403849550899</v>
      </c>
      <c r="P270">
        <f t="shared" si="33"/>
        <v>-0.57400677588715832</v>
      </c>
    </row>
    <row r="271" spans="1:16" x14ac:dyDescent="0.3">
      <c r="A271" s="2">
        <f t="shared" si="34"/>
        <v>267</v>
      </c>
      <c r="B271" s="2">
        <v>15</v>
      </c>
      <c r="C271" s="2">
        <v>0.8</v>
      </c>
      <c r="D271" s="2">
        <v>15</v>
      </c>
      <c r="E271" s="2">
        <v>1</v>
      </c>
      <c r="F271" s="2">
        <v>45</v>
      </c>
      <c r="G271" s="2">
        <v>1</v>
      </c>
      <c r="H271" s="2">
        <v>40</v>
      </c>
      <c r="I271" s="2">
        <v>1</v>
      </c>
      <c r="J271" s="2">
        <v>0</v>
      </c>
      <c r="K271">
        <f t="shared" si="28"/>
        <v>69.229712134530658</v>
      </c>
      <c r="L271">
        <f t="shared" si="29"/>
        <v>18.785888036497418</v>
      </c>
      <c r="M271">
        <f t="shared" si="30"/>
        <v>1</v>
      </c>
      <c r="N271">
        <f t="shared" si="31"/>
        <v>1.2374439825820306E-22</v>
      </c>
      <c r="O271">
        <f t="shared" si="32"/>
        <v>1</v>
      </c>
      <c r="P271">
        <f t="shared" si="33"/>
        <v>0</v>
      </c>
    </row>
    <row r="272" spans="1:16" x14ac:dyDescent="0.3">
      <c r="A272" s="2">
        <f t="shared" si="34"/>
        <v>268</v>
      </c>
      <c r="B272" s="2">
        <v>15</v>
      </c>
      <c r="C272" s="2">
        <v>0.6</v>
      </c>
      <c r="D272" s="2">
        <v>25</v>
      </c>
      <c r="E272" s="2">
        <v>1</v>
      </c>
      <c r="F272" s="2">
        <v>45</v>
      </c>
      <c r="G272" s="2">
        <v>0.8</v>
      </c>
      <c r="H272" s="2">
        <v>20</v>
      </c>
      <c r="I272" s="2">
        <v>0</v>
      </c>
      <c r="J272" s="2">
        <v>1</v>
      </c>
      <c r="K272">
        <f t="shared" si="28"/>
        <v>33.227524315876146</v>
      </c>
      <c r="L272">
        <f t="shared" si="29"/>
        <v>40.018106544713142</v>
      </c>
      <c r="M272">
        <f t="shared" si="30"/>
        <v>1.1230513132668403E-3</v>
      </c>
      <c r="N272">
        <f t="shared" si="31"/>
        <v>0.99887694868673316</v>
      </c>
      <c r="O272">
        <f t="shared" si="32"/>
        <v>0.99887694868673316</v>
      </c>
      <c r="P272">
        <f t="shared" si="33"/>
        <v>-1.123682407938338E-3</v>
      </c>
    </row>
    <row r="273" spans="1:16" x14ac:dyDescent="0.3">
      <c r="A273" s="2">
        <f t="shared" si="34"/>
        <v>269</v>
      </c>
      <c r="B273" s="2">
        <v>25</v>
      </c>
      <c r="C273" s="2">
        <v>0.6</v>
      </c>
      <c r="D273" s="2">
        <v>15</v>
      </c>
      <c r="E273" s="2">
        <v>1</v>
      </c>
      <c r="F273" s="2">
        <v>90</v>
      </c>
      <c r="G273" s="2">
        <v>0.8</v>
      </c>
      <c r="H273" s="2">
        <v>40</v>
      </c>
      <c r="I273" s="2">
        <v>1</v>
      </c>
      <c r="J273" s="2">
        <v>0</v>
      </c>
      <c r="K273">
        <f t="shared" si="28"/>
        <v>77.778437692453977</v>
      </c>
      <c r="L273">
        <f t="shared" si="29"/>
        <v>24.967129345639712</v>
      </c>
      <c r="M273">
        <f t="shared" si="30"/>
        <v>1</v>
      </c>
      <c r="N273">
        <f t="shared" si="31"/>
        <v>1.159685435498325E-23</v>
      </c>
      <c r="O273">
        <f t="shared" si="32"/>
        <v>1</v>
      </c>
      <c r="P273">
        <f t="shared" si="33"/>
        <v>0</v>
      </c>
    </row>
    <row r="274" spans="1:16" x14ac:dyDescent="0.3">
      <c r="A274" s="2">
        <f t="shared" si="34"/>
        <v>270</v>
      </c>
      <c r="B274" s="2">
        <v>15</v>
      </c>
      <c r="C274" s="2">
        <v>0.6</v>
      </c>
      <c r="D274" s="2">
        <v>25</v>
      </c>
      <c r="E274" s="2">
        <v>1</v>
      </c>
      <c r="F274" s="2">
        <v>90</v>
      </c>
      <c r="G274" s="2">
        <v>1</v>
      </c>
      <c r="H274" s="2">
        <v>10</v>
      </c>
      <c r="I274" s="2">
        <v>0</v>
      </c>
      <c r="J274" s="2">
        <v>1</v>
      </c>
      <c r="K274">
        <f t="shared" si="28"/>
        <v>16.698037801533648</v>
      </c>
      <c r="L274">
        <f t="shared" si="29"/>
        <v>40.018106544713142</v>
      </c>
      <c r="M274">
        <f t="shared" si="30"/>
        <v>7.4511417797883601E-11</v>
      </c>
      <c r="N274">
        <f t="shared" si="31"/>
        <v>0.99999999992548849</v>
      </c>
      <c r="O274">
        <f t="shared" si="32"/>
        <v>0.99999999992548849</v>
      </c>
      <c r="P274">
        <f t="shared" si="33"/>
        <v>-7.4511508077468735E-11</v>
      </c>
    </row>
    <row r="275" spans="1:16" x14ac:dyDescent="0.3">
      <c r="A275" s="2">
        <f t="shared" si="34"/>
        <v>271</v>
      </c>
      <c r="B275" s="2">
        <v>25</v>
      </c>
      <c r="C275" s="2">
        <v>0.6</v>
      </c>
      <c r="D275" s="2">
        <v>25</v>
      </c>
      <c r="E275" s="2">
        <v>1</v>
      </c>
      <c r="F275" s="2">
        <v>45</v>
      </c>
      <c r="G275" s="2">
        <v>0.8</v>
      </c>
      <c r="H275" s="2">
        <v>10</v>
      </c>
      <c r="I275" s="2">
        <v>0</v>
      </c>
      <c r="J275" s="2">
        <v>1</v>
      </c>
      <c r="K275">
        <f t="shared" si="28"/>
        <v>13.811006773961173</v>
      </c>
      <c r="L275">
        <f t="shared" si="29"/>
        <v>42.649795503483197</v>
      </c>
      <c r="M275">
        <f t="shared" si="30"/>
        <v>2.9886371457647322E-13</v>
      </c>
      <c r="N275">
        <f t="shared" si="31"/>
        <v>0.99999999999970124</v>
      </c>
      <c r="O275">
        <f t="shared" si="32"/>
        <v>0.99999999999970124</v>
      </c>
      <c r="P275">
        <f t="shared" si="33"/>
        <v>-2.9876101592667426E-13</v>
      </c>
    </row>
    <row r="276" spans="1:16" x14ac:dyDescent="0.3">
      <c r="A276" s="2">
        <f t="shared" si="34"/>
        <v>272</v>
      </c>
      <c r="B276" s="2">
        <v>25</v>
      </c>
      <c r="C276" s="2">
        <v>0.4</v>
      </c>
      <c r="D276" s="2">
        <v>15</v>
      </c>
      <c r="E276" s="2">
        <v>1</v>
      </c>
      <c r="F276" s="2">
        <v>60</v>
      </c>
      <c r="G276" s="2">
        <v>0.9</v>
      </c>
      <c r="H276" s="2">
        <v>40</v>
      </c>
      <c r="I276" s="2">
        <v>1</v>
      </c>
      <c r="J276" s="2">
        <v>0</v>
      </c>
      <c r="K276">
        <f t="shared" si="28"/>
        <v>72.551095198034346</v>
      </c>
      <c r="L276">
        <f t="shared" si="29"/>
        <v>28.51668169601195</v>
      </c>
      <c r="M276">
        <f t="shared" si="30"/>
        <v>1</v>
      </c>
      <c r="N276">
        <f t="shared" si="31"/>
        <v>7.5179113837251579E-20</v>
      </c>
      <c r="O276">
        <f t="shared" si="32"/>
        <v>1</v>
      </c>
      <c r="P276">
        <f t="shared" si="33"/>
        <v>0</v>
      </c>
    </row>
    <row r="277" spans="1:16" x14ac:dyDescent="0.3">
      <c r="A277" s="2">
        <f t="shared" si="34"/>
        <v>273</v>
      </c>
      <c r="B277" s="2">
        <v>20</v>
      </c>
      <c r="C277" s="2">
        <v>0.6</v>
      </c>
      <c r="D277" s="2">
        <v>25</v>
      </c>
      <c r="E277" s="2">
        <v>1</v>
      </c>
      <c r="F277" s="2">
        <v>45</v>
      </c>
      <c r="G277" s="2">
        <v>1</v>
      </c>
      <c r="H277" s="2">
        <v>10</v>
      </c>
      <c r="I277" s="2">
        <v>0</v>
      </c>
      <c r="J277" s="2">
        <v>1</v>
      </c>
      <c r="K277">
        <f t="shared" si="28"/>
        <v>10.980159508785752</v>
      </c>
      <c r="L277">
        <f t="shared" si="29"/>
        <v>41.33395102409817</v>
      </c>
      <c r="M277">
        <f t="shared" si="30"/>
        <v>6.5692507612117899E-14</v>
      </c>
      <c r="N277">
        <f t="shared" si="31"/>
        <v>0.99999999999993427</v>
      </c>
      <c r="O277">
        <f t="shared" si="32"/>
        <v>0.99999999999993427</v>
      </c>
      <c r="P277">
        <f t="shared" si="33"/>
        <v>-6.5725203057811426E-14</v>
      </c>
    </row>
    <row r="278" spans="1:16" x14ac:dyDescent="0.3">
      <c r="A278" s="2">
        <f t="shared" si="34"/>
        <v>274</v>
      </c>
      <c r="B278" s="2">
        <v>25</v>
      </c>
      <c r="C278" s="2">
        <v>0.6</v>
      </c>
      <c r="D278" s="2">
        <v>25</v>
      </c>
      <c r="E278" s="2">
        <v>1</v>
      </c>
      <c r="F278" s="2">
        <v>60</v>
      </c>
      <c r="G278" s="2">
        <v>0.8</v>
      </c>
      <c r="H278" s="2">
        <v>40</v>
      </c>
      <c r="I278" s="2">
        <v>1</v>
      </c>
      <c r="J278" s="2">
        <v>0</v>
      </c>
      <c r="K278">
        <f t="shared" si="28"/>
        <v>73.96651883062205</v>
      </c>
      <c r="L278">
        <f t="shared" si="29"/>
        <v>42.649795503483197</v>
      </c>
      <c r="M278">
        <f t="shared" si="30"/>
        <v>0.99999999999997491</v>
      </c>
      <c r="N278">
        <f t="shared" si="31"/>
        <v>2.5079557392243342E-14</v>
      </c>
      <c r="O278">
        <f t="shared" si="32"/>
        <v>0.99999999999997491</v>
      </c>
      <c r="P278">
        <f t="shared" si="33"/>
        <v>-2.5091040356528853E-14</v>
      </c>
    </row>
    <row r="279" spans="1:16" x14ac:dyDescent="0.3">
      <c r="A279" s="2">
        <f t="shared" si="34"/>
        <v>275</v>
      </c>
      <c r="B279" s="2">
        <v>20</v>
      </c>
      <c r="C279" s="2">
        <v>0.8</v>
      </c>
      <c r="D279" s="2">
        <v>15</v>
      </c>
      <c r="E279" s="2">
        <v>1</v>
      </c>
      <c r="F279" s="2">
        <v>45</v>
      </c>
      <c r="G279" s="2">
        <v>0.9</v>
      </c>
      <c r="H279" s="2">
        <v>40</v>
      </c>
      <c r="I279" s="2">
        <v>1</v>
      </c>
      <c r="J279" s="2">
        <v>0</v>
      </c>
      <c r="K279">
        <f t="shared" si="28"/>
        <v>70.645135767118376</v>
      </c>
      <c r="L279">
        <f t="shared" si="29"/>
        <v>20.101732515882446</v>
      </c>
      <c r="M279">
        <f t="shared" si="30"/>
        <v>1</v>
      </c>
      <c r="N279">
        <f t="shared" si="31"/>
        <v>1.1201569334388634E-22</v>
      </c>
      <c r="O279">
        <f t="shared" si="32"/>
        <v>1</v>
      </c>
      <c r="P279">
        <f t="shared" si="33"/>
        <v>0</v>
      </c>
    </row>
    <row r="280" spans="1:16" x14ac:dyDescent="0.3">
      <c r="A280" s="2">
        <f t="shared" si="34"/>
        <v>276</v>
      </c>
      <c r="B280" s="2">
        <v>15</v>
      </c>
      <c r="C280" s="2">
        <v>0.4</v>
      </c>
      <c r="D280" s="2">
        <v>15</v>
      </c>
      <c r="E280" s="2">
        <v>1</v>
      </c>
      <c r="F280" s="2">
        <v>60</v>
      </c>
      <c r="G280" s="2">
        <v>0.9</v>
      </c>
      <c r="H280" s="2">
        <v>10</v>
      </c>
      <c r="I280" s="2">
        <v>0</v>
      </c>
      <c r="J280" s="2">
        <v>1</v>
      </c>
      <c r="K280">
        <f t="shared" si="28"/>
        <v>14.301542572289428</v>
      </c>
      <c r="L280">
        <f t="shared" si="29"/>
        <v>25.884992737241895</v>
      </c>
      <c r="M280">
        <f t="shared" si="30"/>
        <v>9.3189603682829974E-6</v>
      </c>
      <c r="N280">
        <f t="shared" si="31"/>
        <v>0.99999068103963173</v>
      </c>
      <c r="O280">
        <f t="shared" si="32"/>
        <v>0.99999068103963173</v>
      </c>
      <c r="P280">
        <f t="shared" si="33"/>
        <v>-9.3190037900462307E-6</v>
      </c>
    </row>
    <row r="281" spans="1:16" x14ac:dyDescent="0.3">
      <c r="A281" s="2">
        <f t="shared" si="34"/>
        <v>277</v>
      </c>
      <c r="B281" s="2">
        <v>25</v>
      </c>
      <c r="C281" s="2">
        <v>0.6</v>
      </c>
      <c r="D281" s="2">
        <v>25</v>
      </c>
      <c r="E281" s="2">
        <v>1</v>
      </c>
      <c r="F281" s="2">
        <v>45</v>
      </c>
      <c r="G281" s="2">
        <v>1</v>
      </c>
      <c r="H281" s="2">
        <v>10</v>
      </c>
      <c r="I281" s="2">
        <v>0</v>
      </c>
      <c r="J281" s="2">
        <v>1</v>
      </c>
      <c r="K281">
        <f t="shared" si="28"/>
        <v>10.980159508785752</v>
      </c>
      <c r="L281">
        <f t="shared" si="29"/>
        <v>42.649795503483197</v>
      </c>
      <c r="M281">
        <f t="shared" si="30"/>
        <v>1.7621863936987035E-14</v>
      </c>
      <c r="N281">
        <f t="shared" si="31"/>
        <v>0.99999999999998235</v>
      </c>
      <c r="O281">
        <f t="shared" si="32"/>
        <v>0.99999999999998235</v>
      </c>
      <c r="P281">
        <f t="shared" si="33"/>
        <v>-1.7652546091540144E-14</v>
      </c>
    </row>
    <row r="282" spans="1:16" x14ac:dyDescent="0.3">
      <c r="A282" s="2">
        <f t="shared" si="34"/>
        <v>278</v>
      </c>
      <c r="B282" s="2">
        <v>25</v>
      </c>
      <c r="C282" s="2">
        <v>0.8</v>
      </c>
      <c r="D282" s="2">
        <v>20</v>
      </c>
      <c r="E282" s="2">
        <v>1</v>
      </c>
      <c r="F282" s="2">
        <v>90</v>
      </c>
      <c r="G282" s="2">
        <v>0.9</v>
      </c>
      <c r="H282" s="2">
        <v>10</v>
      </c>
      <c r="I282" s="2">
        <v>0</v>
      </c>
      <c r="J282" s="2">
        <v>1</v>
      </c>
      <c r="K282">
        <f t="shared" si="28"/>
        <v>18.113461434121358</v>
      </c>
      <c r="L282">
        <f t="shared" si="29"/>
        <v>30.258910074189213</v>
      </c>
      <c r="M282">
        <f t="shared" si="30"/>
        <v>5.3124685031482402E-6</v>
      </c>
      <c r="N282">
        <f t="shared" si="31"/>
        <v>0.9999946875314969</v>
      </c>
      <c r="O282">
        <f t="shared" si="32"/>
        <v>0.9999946875314969</v>
      </c>
      <c r="P282">
        <f t="shared" si="33"/>
        <v>-5.312482614315514E-6</v>
      </c>
    </row>
    <row r="283" spans="1:16" x14ac:dyDescent="0.3">
      <c r="A283" s="2">
        <f t="shared" si="34"/>
        <v>279</v>
      </c>
      <c r="B283" s="2">
        <v>25</v>
      </c>
      <c r="C283" s="2">
        <v>0.8</v>
      </c>
      <c r="D283" s="2">
        <v>20</v>
      </c>
      <c r="E283" s="2">
        <v>1</v>
      </c>
      <c r="F283" s="2">
        <v>90</v>
      </c>
      <c r="G283" s="2">
        <v>0.8</v>
      </c>
      <c r="H283" s="2">
        <v>40</v>
      </c>
      <c r="I283" s="2">
        <v>1</v>
      </c>
      <c r="J283" s="2">
        <v>0</v>
      </c>
      <c r="K283">
        <f t="shared" si="28"/>
        <v>77.778437692453977</v>
      </c>
      <c r="L283">
        <f t="shared" si="29"/>
        <v>30.258910074189213</v>
      </c>
      <c r="M283">
        <f t="shared" si="30"/>
        <v>1</v>
      </c>
      <c r="N283">
        <f t="shared" si="31"/>
        <v>2.304259426057519E-21</v>
      </c>
      <c r="O283">
        <f t="shared" si="32"/>
        <v>1</v>
      </c>
      <c r="P283">
        <f t="shared" si="33"/>
        <v>0</v>
      </c>
    </row>
    <row r="284" spans="1:16" x14ac:dyDescent="0.3">
      <c r="A284" s="2">
        <f t="shared" si="34"/>
        <v>280</v>
      </c>
      <c r="B284" s="2">
        <v>20</v>
      </c>
      <c r="C284" s="2">
        <v>0.4</v>
      </c>
      <c r="D284" s="2">
        <v>20</v>
      </c>
      <c r="E284" s="2">
        <v>1</v>
      </c>
      <c r="F284" s="2">
        <v>90</v>
      </c>
      <c r="G284" s="2">
        <v>1</v>
      </c>
      <c r="H284" s="2">
        <v>20</v>
      </c>
      <c r="I284" s="2">
        <v>0</v>
      </c>
      <c r="J284" s="2">
        <v>1</v>
      </c>
      <c r="K284">
        <f t="shared" si="28"/>
        <v>36.114555343448615</v>
      </c>
      <c r="L284">
        <f t="shared" si="29"/>
        <v>36.042170295548658</v>
      </c>
      <c r="M284">
        <f t="shared" si="30"/>
        <v>0.51808836468893404</v>
      </c>
      <c r="N284">
        <f t="shared" si="31"/>
        <v>0.4819116353110659</v>
      </c>
      <c r="O284">
        <f t="shared" si="32"/>
        <v>0.4819116353110659</v>
      </c>
      <c r="P284">
        <f t="shared" si="33"/>
        <v>-0.72999451096854795</v>
      </c>
    </row>
    <row r="285" spans="1:16" x14ac:dyDescent="0.3">
      <c r="A285" s="2">
        <f t="shared" si="34"/>
        <v>281</v>
      </c>
      <c r="B285" s="2">
        <v>25</v>
      </c>
      <c r="C285" s="2">
        <v>0.8</v>
      </c>
      <c r="D285" s="2">
        <v>20</v>
      </c>
      <c r="E285" s="2">
        <v>1</v>
      </c>
      <c r="F285" s="2">
        <v>60</v>
      </c>
      <c r="G285" s="2">
        <v>0.9</v>
      </c>
      <c r="H285" s="2">
        <v>10</v>
      </c>
      <c r="I285" s="2">
        <v>0</v>
      </c>
      <c r="J285" s="2">
        <v>1</v>
      </c>
      <c r="K285">
        <f t="shared" si="28"/>
        <v>14.301542572289428</v>
      </c>
      <c r="L285">
        <f t="shared" si="29"/>
        <v>30.258910074189213</v>
      </c>
      <c r="M285">
        <f t="shared" si="30"/>
        <v>1.1743655350881169E-7</v>
      </c>
      <c r="N285">
        <f t="shared" si="31"/>
        <v>0.99999988256344641</v>
      </c>
      <c r="O285">
        <f t="shared" si="32"/>
        <v>0.99999988256344641</v>
      </c>
      <c r="P285">
        <f t="shared" si="33"/>
        <v>-1.1743656048842612E-7</v>
      </c>
    </row>
    <row r="286" spans="1:16" x14ac:dyDescent="0.3">
      <c r="A286" s="2">
        <f t="shared" si="34"/>
        <v>282</v>
      </c>
      <c r="B286" s="2">
        <v>15</v>
      </c>
      <c r="C286" s="2">
        <v>0.8</v>
      </c>
      <c r="D286" s="2">
        <v>20</v>
      </c>
      <c r="E286" s="2">
        <v>1</v>
      </c>
      <c r="F286" s="2">
        <v>60</v>
      </c>
      <c r="G286" s="2">
        <v>0.9</v>
      </c>
      <c r="H286" s="2">
        <v>10</v>
      </c>
      <c r="I286" s="2">
        <v>0</v>
      </c>
      <c r="J286" s="2">
        <v>1</v>
      </c>
      <c r="K286">
        <f t="shared" si="28"/>
        <v>14.301542572289428</v>
      </c>
      <c r="L286">
        <f t="shared" si="29"/>
        <v>27.627221115419157</v>
      </c>
      <c r="M286">
        <f t="shared" si="30"/>
        <v>1.6320393745181164E-6</v>
      </c>
      <c r="N286">
        <f t="shared" si="31"/>
        <v>0.99999836796062547</v>
      </c>
      <c r="O286">
        <f t="shared" si="32"/>
        <v>0.99999836796062547</v>
      </c>
      <c r="P286">
        <f t="shared" si="33"/>
        <v>-1.6320407063105323E-6</v>
      </c>
    </row>
    <row r="287" spans="1:16" x14ac:dyDescent="0.3">
      <c r="A287" s="2">
        <f t="shared" si="34"/>
        <v>283</v>
      </c>
      <c r="B287" s="2">
        <v>25</v>
      </c>
      <c r="C287" s="2">
        <v>0.8</v>
      </c>
      <c r="D287" s="2">
        <v>25</v>
      </c>
      <c r="E287" s="2">
        <v>1</v>
      </c>
      <c r="F287" s="2">
        <v>60</v>
      </c>
      <c r="G287" s="2">
        <v>1</v>
      </c>
      <c r="H287" s="2">
        <v>20</v>
      </c>
      <c r="I287" s="2">
        <v>0</v>
      </c>
      <c r="J287" s="2">
        <v>1</v>
      </c>
      <c r="K287">
        <f t="shared" si="28"/>
        <v>32.302636481616688</v>
      </c>
      <c r="L287">
        <f t="shared" si="29"/>
        <v>39.100243153110959</v>
      </c>
      <c r="M287">
        <f t="shared" si="30"/>
        <v>1.1151989129635361E-3</v>
      </c>
      <c r="N287">
        <f t="shared" si="31"/>
        <v>0.99888480108703648</v>
      </c>
      <c r="O287">
        <f t="shared" si="32"/>
        <v>0.99888480108703648</v>
      </c>
      <c r="P287">
        <f t="shared" si="33"/>
        <v>-1.1158212099709121E-3</v>
      </c>
    </row>
    <row r="288" spans="1:16" x14ac:dyDescent="0.3">
      <c r="A288" s="2">
        <f t="shared" si="34"/>
        <v>284</v>
      </c>
      <c r="B288" s="2">
        <v>15</v>
      </c>
      <c r="C288" s="2">
        <v>0.4</v>
      </c>
      <c r="D288" s="2">
        <v>25</v>
      </c>
      <c r="E288" s="2">
        <v>1</v>
      </c>
      <c r="F288" s="2">
        <v>90</v>
      </c>
      <c r="G288" s="2">
        <v>0.8</v>
      </c>
      <c r="H288" s="2">
        <v>40</v>
      </c>
      <c r="I288" s="2">
        <v>1</v>
      </c>
      <c r="J288" s="2">
        <v>0</v>
      </c>
      <c r="K288">
        <f t="shared" si="28"/>
        <v>77.778437692453977</v>
      </c>
      <c r="L288">
        <f t="shared" si="29"/>
        <v>43.567658895085373</v>
      </c>
      <c r="M288">
        <f t="shared" si="30"/>
        <v>0.99999999999999867</v>
      </c>
      <c r="N288">
        <f t="shared" si="31"/>
        <v>1.388185637227827E-15</v>
      </c>
      <c r="O288">
        <f t="shared" si="32"/>
        <v>0.99999999999999867</v>
      </c>
      <c r="P288">
        <f t="shared" si="33"/>
        <v>-1.3322676295501886E-15</v>
      </c>
    </row>
    <row r="289" spans="1:16" x14ac:dyDescent="0.3">
      <c r="A289" s="2">
        <f t="shared" si="34"/>
        <v>285</v>
      </c>
      <c r="B289" s="2">
        <v>15</v>
      </c>
      <c r="C289" s="2">
        <v>0.8</v>
      </c>
      <c r="D289" s="2">
        <v>20</v>
      </c>
      <c r="E289" s="2">
        <v>1</v>
      </c>
      <c r="F289" s="2">
        <v>90</v>
      </c>
      <c r="G289" s="2">
        <v>1</v>
      </c>
      <c r="H289" s="2">
        <v>20</v>
      </c>
      <c r="I289" s="2">
        <v>1</v>
      </c>
      <c r="J289" s="2">
        <v>0</v>
      </c>
      <c r="K289">
        <f t="shared" si="28"/>
        <v>36.114555343448615</v>
      </c>
      <c r="L289">
        <f t="shared" si="29"/>
        <v>27.627221115419157</v>
      </c>
      <c r="M289">
        <f t="shared" si="30"/>
        <v>0.99979398061025826</v>
      </c>
      <c r="N289">
        <f t="shared" si="31"/>
        <v>2.0601938974177246E-4</v>
      </c>
      <c r="O289">
        <f t="shared" si="32"/>
        <v>0.99979398061025826</v>
      </c>
      <c r="P289">
        <f t="shared" si="33"/>
        <v>-2.0604061465142741E-4</v>
      </c>
    </row>
    <row r="290" spans="1:16" x14ac:dyDescent="0.3">
      <c r="A290" s="2">
        <f t="shared" si="34"/>
        <v>286</v>
      </c>
      <c r="B290" s="2">
        <v>25</v>
      </c>
      <c r="C290" s="2">
        <v>0.8</v>
      </c>
      <c r="D290" s="2">
        <v>25</v>
      </c>
      <c r="E290" s="2">
        <v>1</v>
      </c>
      <c r="F290" s="2">
        <v>45</v>
      </c>
      <c r="G290" s="2">
        <v>1</v>
      </c>
      <c r="H290" s="2">
        <v>10</v>
      </c>
      <c r="I290" s="2">
        <v>0</v>
      </c>
      <c r="J290" s="2">
        <v>1</v>
      </c>
      <c r="K290">
        <f t="shared" si="28"/>
        <v>10.980159508785752</v>
      </c>
      <c r="L290">
        <f t="shared" si="29"/>
        <v>39.100243153110959</v>
      </c>
      <c r="M290">
        <f t="shared" si="30"/>
        <v>6.1320098332046277E-13</v>
      </c>
      <c r="N290">
        <f t="shared" si="31"/>
        <v>0.99999999999938671</v>
      </c>
      <c r="O290">
        <f t="shared" si="32"/>
        <v>0.99999999999938671</v>
      </c>
      <c r="P290">
        <f t="shared" si="33"/>
        <v>-6.1328719880312449E-13</v>
      </c>
    </row>
    <row r="291" spans="1:16" x14ac:dyDescent="0.3">
      <c r="A291" s="2">
        <f t="shared" si="34"/>
        <v>287</v>
      </c>
      <c r="B291" s="2">
        <v>25</v>
      </c>
      <c r="C291" s="2">
        <v>0.4</v>
      </c>
      <c r="D291" s="2">
        <v>20</v>
      </c>
      <c r="E291" s="2">
        <v>1</v>
      </c>
      <c r="F291" s="2">
        <v>45</v>
      </c>
      <c r="G291" s="2">
        <v>0.8</v>
      </c>
      <c r="H291" s="2">
        <v>10</v>
      </c>
      <c r="I291" s="2">
        <v>0</v>
      </c>
      <c r="J291" s="2">
        <v>1</v>
      </c>
      <c r="K291">
        <f t="shared" si="28"/>
        <v>13.811006773961173</v>
      </c>
      <c r="L291">
        <f t="shared" si="29"/>
        <v>37.358014774933686</v>
      </c>
      <c r="M291">
        <f t="shared" si="30"/>
        <v>5.9383304325349135E-11</v>
      </c>
      <c r="N291">
        <f t="shared" si="31"/>
        <v>0.99999999994061672</v>
      </c>
      <c r="O291">
        <f t="shared" si="32"/>
        <v>0.99999999994061672</v>
      </c>
      <c r="P291">
        <f t="shared" si="33"/>
        <v>-5.9383276076006173E-11</v>
      </c>
    </row>
    <row r="292" spans="1:16" x14ac:dyDescent="0.3">
      <c r="A292" s="2">
        <f t="shared" si="34"/>
        <v>288</v>
      </c>
      <c r="B292" s="2">
        <v>20</v>
      </c>
      <c r="C292" s="2">
        <v>0.8</v>
      </c>
      <c r="D292" s="2">
        <v>25</v>
      </c>
      <c r="E292" s="2">
        <v>1</v>
      </c>
      <c r="F292" s="2">
        <v>90</v>
      </c>
      <c r="G292" s="2">
        <v>1</v>
      </c>
      <c r="H292" s="2">
        <v>20</v>
      </c>
      <c r="I292" s="2">
        <v>0</v>
      </c>
      <c r="J292" s="2">
        <v>1</v>
      </c>
      <c r="K292">
        <f t="shared" si="28"/>
        <v>36.114555343448615</v>
      </c>
      <c r="L292">
        <f t="shared" si="29"/>
        <v>37.784398673725924</v>
      </c>
      <c r="M292">
        <f t="shared" si="30"/>
        <v>0.15844506810372347</v>
      </c>
      <c r="N292">
        <f t="shared" si="31"/>
        <v>0.8415549318962765</v>
      </c>
      <c r="O292">
        <f t="shared" si="32"/>
        <v>0.8415549318962765</v>
      </c>
      <c r="P292">
        <f t="shared" si="33"/>
        <v>-0.17250398893604477</v>
      </c>
    </row>
    <row r="293" spans="1:16" x14ac:dyDescent="0.3">
      <c r="A293" s="2">
        <f t="shared" si="34"/>
        <v>289</v>
      </c>
      <c r="B293" s="2">
        <v>15</v>
      </c>
      <c r="C293" s="2">
        <v>0.6</v>
      </c>
      <c r="D293" s="2">
        <v>20</v>
      </c>
      <c r="E293" s="2">
        <v>1</v>
      </c>
      <c r="F293" s="2">
        <v>60</v>
      </c>
      <c r="G293" s="2">
        <v>0.9</v>
      </c>
      <c r="H293" s="2">
        <v>20</v>
      </c>
      <c r="I293" s="2">
        <v>1</v>
      </c>
      <c r="J293" s="2">
        <v>0</v>
      </c>
      <c r="K293">
        <f t="shared" si="28"/>
        <v>33.718060114204398</v>
      </c>
      <c r="L293">
        <f t="shared" si="29"/>
        <v>31.176773465791396</v>
      </c>
      <c r="M293">
        <f t="shared" si="30"/>
        <v>0.9269859586473973</v>
      </c>
      <c r="N293">
        <f t="shared" si="31"/>
        <v>7.3014041352602602E-2</v>
      </c>
      <c r="O293">
        <f t="shared" si="32"/>
        <v>0.9269859586473973</v>
      </c>
      <c r="P293">
        <f t="shared" si="33"/>
        <v>-7.5816860621186533E-2</v>
      </c>
    </row>
    <row r="294" spans="1:16" x14ac:dyDescent="0.3">
      <c r="A294" s="2">
        <f t="shared" si="34"/>
        <v>290</v>
      </c>
      <c r="B294" s="2">
        <v>25</v>
      </c>
      <c r="C294" s="2">
        <v>0.4</v>
      </c>
      <c r="D294" s="2">
        <v>25</v>
      </c>
      <c r="E294" s="2">
        <v>1</v>
      </c>
      <c r="F294" s="2">
        <v>45</v>
      </c>
      <c r="G294" s="2">
        <v>0.9</v>
      </c>
      <c r="H294" s="2">
        <v>40</v>
      </c>
      <c r="I294" s="2">
        <v>1</v>
      </c>
      <c r="J294" s="2">
        <v>0</v>
      </c>
      <c r="K294">
        <f t="shared" si="28"/>
        <v>70.645135767118376</v>
      </c>
      <c r="L294">
        <f t="shared" si="29"/>
        <v>46.199347853855429</v>
      </c>
      <c r="M294">
        <f t="shared" si="30"/>
        <v>0.99999999997582711</v>
      </c>
      <c r="N294">
        <f t="shared" si="31"/>
        <v>2.4172924938539105E-11</v>
      </c>
      <c r="O294">
        <f t="shared" si="32"/>
        <v>0.99999999997582711</v>
      </c>
      <c r="P294">
        <f t="shared" si="33"/>
        <v>-2.4172885915455696E-11</v>
      </c>
    </row>
    <row r="295" spans="1:16" x14ac:dyDescent="0.3">
      <c r="A295" s="2">
        <f t="shared" si="34"/>
        <v>291</v>
      </c>
      <c r="B295" s="2">
        <v>15</v>
      </c>
      <c r="C295" s="2">
        <v>0.4</v>
      </c>
      <c r="D295" s="2">
        <v>25</v>
      </c>
      <c r="E295" s="2">
        <v>1</v>
      </c>
      <c r="F295" s="2">
        <v>60</v>
      </c>
      <c r="G295" s="2">
        <v>0.8</v>
      </c>
      <c r="H295" s="2">
        <v>20</v>
      </c>
      <c r="I295" s="2">
        <v>0</v>
      </c>
      <c r="J295" s="2">
        <v>1</v>
      </c>
      <c r="K295">
        <f t="shared" si="28"/>
        <v>35.133483746792109</v>
      </c>
      <c r="L295">
        <f t="shared" si="29"/>
        <v>43.567658895085373</v>
      </c>
      <c r="M295">
        <f t="shared" si="30"/>
        <v>2.1726506829857856E-4</v>
      </c>
      <c r="N295">
        <f t="shared" si="31"/>
        <v>0.99978273493170144</v>
      </c>
      <c r="O295">
        <f t="shared" si="32"/>
        <v>0.99978273493170144</v>
      </c>
      <c r="P295">
        <f t="shared" si="33"/>
        <v>-2.1728867377266545E-4</v>
      </c>
    </row>
    <row r="296" spans="1:16" x14ac:dyDescent="0.3">
      <c r="A296" s="2">
        <f t="shared" si="34"/>
        <v>292</v>
      </c>
      <c r="B296" s="2">
        <v>20</v>
      </c>
      <c r="C296" s="2">
        <v>0.4</v>
      </c>
      <c r="D296" s="2">
        <v>25</v>
      </c>
      <c r="E296" s="2">
        <v>1</v>
      </c>
      <c r="F296" s="2">
        <v>45</v>
      </c>
      <c r="G296" s="2">
        <v>0.8</v>
      </c>
      <c r="H296" s="2">
        <v>20</v>
      </c>
      <c r="I296" s="2">
        <v>0</v>
      </c>
      <c r="J296" s="2">
        <v>1</v>
      </c>
      <c r="K296">
        <f t="shared" si="28"/>
        <v>33.227524315876146</v>
      </c>
      <c r="L296">
        <f t="shared" si="29"/>
        <v>44.883503374470401</v>
      </c>
      <c r="M296">
        <f t="shared" si="30"/>
        <v>8.6670010589271347E-6</v>
      </c>
      <c r="N296">
        <f t="shared" si="31"/>
        <v>0.99999133299894116</v>
      </c>
      <c r="O296">
        <f t="shared" si="32"/>
        <v>0.99999133299894116</v>
      </c>
      <c r="P296">
        <f t="shared" si="33"/>
        <v>-8.6670386175081342E-6</v>
      </c>
    </row>
    <row r="297" spans="1:16" x14ac:dyDescent="0.3">
      <c r="A297" s="2">
        <f t="shared" si="34"/>
        <v>293</v>
      </c>
      <c r="B297" s="2">
        <v>20</v>
      </c>
      <c r="C297" s="2">
        <v>0.4</v>
      </c>
      <c r="D297" s="2">
        <v>20</v>
      </c>
      <c r="E297" s="2">
        <v>1</v>
      </c>
      <c r="F297" s="2">
        <v>90</v>
      </c>
      <c r="G297" s="2">
        <v>0.9</v>
      </c>
      <c r="H297" s="2">
        <v>40</v>
      </c>
      <c r="I297" s="2">
        <v>1</v>
      </c>
      <c r="J297" s="2">
        <v>0</v>
      </c>
      <c r="K297">
        <f t="shared" si="28"/>
        <v>76.363014059866273</v>
      </c>
      <c r="L297">
        <f t="shared" si="29"/>
        <v>36.042170295548658</v>
      </c>
      <c r="M297">
        <f t="shared" si="30"/>
        <v>1</v>
      </c>
      <c r="N297">
        <f t="shared" si="31"/>
        <v>3.0823364885587301E-18</v>
      </c>
      <c r="O297">
        <f t="shared" si="32"/>
        <v>1</v>
      </c>
      <c r="P297">
        <f t="shared" si="33"/>
        <v>0</v>
      </c>
    </row>
    <row r="298" spans="1:16" x14ac:dyDescent="0.3">
      <c r="A298" s="2">
        <f t="shared" si="34"/>
        <v>294</v>
      </c>
      <c r="B298" s="2">
        <v>15</v>
      </c>
      <c r="C298" s="2">
        <v>0.8</v>
      </c>
      <c r="D298" s="2">
        <v>15</v>
      </c>
      <c r="E298" s="2">
        <v>1</v>
      </c>
      <c r="F298" s="2">
        <v>60</v>
      </c>
      <c r="G298" s="2">
        <v>1</v>
      </c>
      <c r="H298" s="2">
        <v>20</v>
      </c>
      <c r="I298" s="2">
        <v>1</v>
      </c>
      <c r="J298" s="2">
        <v>0</v>
      </c>
      <c r="K298">
        <f t="shared" si="28"/>
        <v>32.302636481616688</v>
      </c>
      <c r="L298">
        <f t="shared" si="29"/>
        <v>18.785888036497418</v>
      </c>
      <c r="M298">
        <f t="shared" si="30"/>
        <v>0.99999865181294911</v>
      </c>
      <c r="N298">
        <f t="shared" si="31"/>
        <v>1.3481870508975802E-6</v>
      </c>
      <c r="O298">
        <f t="shared" si="32"/>
        <v>0.99999865181294911</v>
      </c>
      <c r="P298">
        <f t="shared" si="33"/>
        <v>-1.3481879596918854E-6</v>
      </c>
    </row>
    <row r="299" spans="1:16" x14ac:dyDescent="0.3">
      <c r="A299" s="2">
        <f t="shared" si="34"/>
        <v>295</v>
      </c>
      <c r="B299" s="2">
        <v>15</v>
      </c>
      <c r="C299" s="2">
        <v>0.8</v>
      </c>
      <c r="D299" s="2">
        <v>25</v>
      </c>
      <c r="E299" s="2">
        <v>1</v>
      </c>
      <c r="F299" s="2">
        <v>60</v>
      </c>
      <c r="G299" s="2">
        <v>0.9</v>
      </c>
      <c r="H299" s="2">
        <v>20</v>
      </c>
      <c r="I299" s="2">
        <v>0</v>
      </c>
      <c r="J299" s="2">
        <v>1</v>
      </c>
      <c r="K299">
        <f t="shared" si="28"/>
        <v>33.718060114204398</v>
      </c>
      <c r="L299">
        <f t="shared" si="29"/>
        <v>36.468554194340904</v>
      </c>
      <c r="M299">
        <f t="shared" si="30"/>
        <v>6.0058752447550837E-2</v>
      </c>
      <c r="N299">
        <f t="shared" si="31"/>
        <v>0.93994124755244923</v>
      </c>
      <c r="O299">
        <f t="shared" si="32"/>
        <v>0.93994124755244923</v>
      </c>
      <c r="P299">
        <f t="shared" si="33"/>
        <v>-6.1937908275234016E-2</v>
      </c>
    </row>
    <row r="300" spans="1:16" x14ac:dyDescent="0.3">
      <c r="A300" s="2">
        <f t="shared" si="34"/>
        <v>296</v>
      </c>
      <c r="B300" s="2">
        <v>20</v>
      </c>
      <c r="C300" s="2">
        <v>0.4</v>
      </c>
      <c r="D300" s="2">
        <v>20</v>
      </c>
      <c r="E300" s="2">
        <v>1</v>
      </c>
      <c r="F300" s="2">
        <v>90</v>
      </c>
      <c r="G300" s="2">
        <v>0.9</v>
      </c>
      <c r="H300" s="2">
        <v>20</v>
      </c>
      <c r="I300" s="2">
        <v>1</v>
      </c>
      <c r="J300" s="2">
        <v>0</v>
      </c>
      <c r="K300">
        <f t="shared" si="28"/>
        <v>37.529978976036332</v>
      </c>
      <c r="L300">
        <f t="shared" si="29"/>
        <v>36.042170295548658</v>
      </c>
      <c r="M300">
        <f t="shared" si="30"/>
        <v>0.81574913968273377</v>
      </c>
      <c r="N300">
        <f t="shared" si="31"/>
        <v>0.18425086031726629</v>
      </c>
      <c r="O300">
        <f t="shared" si="32"/>
        <v>0.81574913968273377</v>
      </c>
      <c r="P300">
        <f t="shared" si="33"/>
        <v>-0.20364839814274921</v>
      </c>
    </row>
    <row r="301" spans="1:16" x14ac:dyDescent="0.3">
      <c r="A301" s="2">
        <f t="shared" si="34"/>
        <v>297</v>
      </c>
      <c r="B301" s="2">
        <v>15</v>
      </c>
      <c r="C301" s="2">
        <v>0.6</v>
      </c>
      <c r="D301" s="2">
        <v>15</v>
      </c>
      <c r="E301" s="2">
        <v>1</v>
      </c>
      <c r="F301" s="2">
        <v>45</v>
      </c>
      <c r="G301" s="2">
        <v>0.9</v>
      </c>
      <c r="H301" s="2">
        <v>40</v>
      </c>
      <c r="I301" s="2">
        <v>1</v>
      </c>
      <c r="J301" s="2">
        <v>0</v>
      </c>
      <c r="K301">
        <f t="shared" si="28"/>
        <v>70.645135767118376</v>
      </c>
      <c r="L301">
        <f t="shared" si="29"/>
        <v>22.335440386869656</v>
      </c>
      <c r="M301">
        <f t="shared" si="30"/>
        <v>1</v>
      </c>
      <c r="N301">
        <f t="shared" si="31"/>
        <v>1.0456007207306188E-21</v>
      </c>
      <c r="O301">
        <f t="shared" si="32"/>
        <v>1</v>
      </c>
      <c r="P301">
        <f t="shared" si="33"/>
        <v>0</v>
      </c>
    </row>
    <row r="302" spans="1:16" x14ac:dyDescent="0.3">
      <c r="A302" s="2">
        <f t="shared" si="34"/>
        <v>298</v>
      </c>
      <c r="B302" s="2">
        <v>15</v>
      </c>
      <c r="C302" s="2">
        <v>0.6</v>
      </c>
      <c r="D302" s="2">
        <v>20</v>
      </c>
      <c r="E302" s="2">
        <v>1</v>
      </c>
      <c r="F302" s="2">
        <v>60</v>
      </c>
      <c r="G302" s="2">
        <v>0.8</v>
      </c>
      <c r="H302" s="2">
        <v>40</v>
      </c>
      <c r="I302" s="2">
        <v>1</v>
      </c>
      <c r="J302" s="2">
        <v>0</v>
      </c>
      <c r="K302">
        <f t="shared" si="28"/>
        <v>73.96651883062205</v>
      </c>
      <c r="L302">
        <f t="shared" si="29"/>
        <v>31.176773465791396</v>
      </c>
      <c r="M302">
        <f t="shared" si="30"/>
        <v>1</v>
      </c>
      <c r="N302">
        <f t="shared" si="31"/>
        <v>2.610055282268863E-19</v>
      </c>
      <c r="O302">
        <f t="shared" si="32"/>
        <v>1</v>
      </c>
      <c r="P302">
        <f t="shared" si="33"/>
        <v>0</v>
      </c>
    </row>
    <row r="303" spans="1:16" x14ac:dyDescent="0.3">
      <c r="A303" s="2">
        <f t="shared" si="34"/>
        <v>299</v>
      </c>
      <c r="B303" s="2">
        <v>20</v>
      </c>
      <c r="C303" s="2">
        <v>0.4</v>
      </c>
      <c r="D303" s="2">
        <v>20</v>
      </c>
      <c r="E303" s="2">
        <v>1</v>
      </c>
      <c r="F303" s="2">
        <v>60</v>
      </c>
      <c r="G303" s="2">
        <v>1</v>
      </c>
      <c r="H303" s="2">
        <v>40</v>
      </c>
      <c r="I303" s="2">
        <v>1</v>
      </c>
      <c r="J303" s="2">
        <v>0</v>
      </c>
      <c r="K303">
        <f t="shared" si="28"/>
        <v>71.135671565446629</v>
      </c>
      <c r="L303">
        <f t="shared" si="29"/>
        <v>36.042170295548658</v>
      </c>
      <c r="M303">
        <f t="shared" si="30"/>
        <v>0.99999999999999944</v>
      </c>
      <c r="N303">
        <f t="shared" si="31"/>
        <v>5.742302245634369E-16</v>
      </c>
      <c r="O303">
        <f t="shared" si="32"/>
        <v>0.99999999999999944</v>
      </c>
      <c r="P303">
        <f t="shared" si="33"/>
        <v>-5.5511151231257847E-16</v>
      </c>
    </row>
    <row r="304" spans="1:16" x14ac:dyDescent="0.3">
      <c r="A304" s="2">
        <f t="shared" si="34"/>
        <v>300</v>
      </c>
      <c r="B304" s="2">
        <v>25</v>
      </c>
      <c r="C304" s="2">
        <v>0.8</v>
      </c>
      <c r="D304" s="2">
        <v>20</v>
      </c>
      <c r="E304" s="2">
        <v>1</v>
      </c>
      <c r="F304" s="2">
        <v>45</v>
      </c>
      <c r="G304" s="2">
        <v>0.8</v>
      </c>
      <c r="H304" s="2">
        <v>20</v>
      </c>
      <c r="I304" s="2">
        <v>1</v>
      </c>
      <c r="J304" s="2">
        <v>0</v>
      </c>
      <c r="K304">
        <f t="shared" si="28"/>
        <v>33.227524315876146</v>
      </c>
      <c r="L304">
        <f t="shared" si="29"/>
        <v>30.258910074189213</v>
      </c>
      <c r="M304">
        <f t="shared" si="30"/>
        <v>0.95113591220811311</v>
      </c>
      <c r="N304">
        <f t="shared" si="31"/>
        <v>4.8864087791886848E-2</v>
      </c>
      <c r="O304">
        <f t="shared" si="32"/>
        <v>0.95113591220811311</v>
      </c>
      <c r="P304">
        <f t="shared" si="33"/>
        <v>-5.0098311602794439E-2</v>
      </c>
    </row>
    <row r="305" spans="1:16" x14ac:dyDescent="0.3">
      <c r="A305" s="2">
        <f t="shared" si="34"/>
        <v>301</v>
      </c>
      <c r="B305" s="2">
        <v>15</v>
      </c>
      <c r="C305" s="2">
        <v>0.8</v>
      </c>
      <c r="D305" s="2">
        <v>20</v>
      </c>
      <c r="E305" s="2">
        <v>1</v>
      </c>
      <c r="F305" s="2">
        <v>90</v>
      </c>
      <c r="G305" s="2">
        <v>0.9</v>
      </c>
      <c r="H305" s="2">
        <v>20</v>
      </c>
      <c r="I305" s="2">
        <v>1</v>
      </c>
      <c r="J305" s="2">
        <v>0</v>
      </c>
      <c r="K305">
        <f t="shared" si="28"/>
        <v>37.529978976036332</v>
      </c>
      <c r="L305">
        <f t="shared" si="29"/>
        <v>27.627221115419157</v>
      </c>
      <c r="M305">
        <f t="shared" si="30"/>
        <v>0.99994996600561536</v>
      </c>
      <c r="N305">
        <f t="shared" si="31"/>
        <v>5.0033994384587875E-5</v>
      </c>
      <c r="O305">
        <f t="shared" si="32"/>
        <v>0.99994996600561536</v>
      </c>
      <c r="P305">
        <f t="shared" si="33"/>
        <v>-5.0035246126685389E-5</v>
      </c>
    </row>
    <row r="306" spans="1:16" x14ac:dyDescent="0.3">
      <c r="A306" s="2">
        <f t="shared" si="34"/>
        <v>302</v>
      </c>
      <c r="B306" s="2">
        <v>15</v>
      </c>
      <c r="C306" s="2">
        <v>0.4</v>
      </c>
      <c r="D306" s="2">
        <v>15</v>
      </c>
      <c r="E306" s="2">
        <v>1</v>
      </c>
      <c r="F306" s="2">
        <v>60</v>
      </c>
      <c r="G306" s="2">
        <v>0.9</v>
      </c>
      <c r="H306" s="2">
        <v>10</v>
      </c>
      <c r="I306" s="2">
        <v>0</v>
      </c>
      <c r="J306" s="2">
        <v>1</v>
      </c>
      <c r="K306">
        <f t="shared" si="28"/>
        <v>14.301542572289428</v>
      </c>
      <c r="L306">
        <f t="shared" si="29"/>
        <v>25.884992737241895</v>
      </c>
      <c r="M306">
        <f t="shared" si="30"/>
        <v>9.3189603682829974E-6</v>
      </c>
      <c r="N306">
        <f t="shared" si="31"/>
        <v>0.99999068103963173</v>
      </c>
      <c r="O306">
        <f t="shared" si="32"/>
        <v>0.99999068103963173</v>
      </c>
      <c r="P306">
        <f t="shared" si="33"/>
        <v>-9.3190037900462307E-6</v>
      </c>
    </row>
    <row r="307" spans="1:16" x14ac:dyDescent="0.3">
      <c r="A307" s="2">
        <f t="shared" si="34"/>
        <v>303</v>
      </c>
      <c r="B307" s="2">
        <v>20</v>
      </c>
      <c r="C307" s="2">
        <v>0.4</v>
      </c>
      <c r="D307" s="2">
        <v>15</v>
      </c>
      <c r="E307" s="2">
        <v>1</v>
      </c>
      <c r="F307" s="2">
        <v>90</v>
      </c>
      <c r="G307" s="2">
        <v>1</v>
      </c>
      <c r="H307" s="2">
        <v>40</v>
      </c>
      <c r="I307" s="2">
        <v>1</v>
      </c>
      <c r="J307" s="2">
        <v>0</v>
      </c>
      <c r="K307">
        <f t="shared" si="28"/>
        <v>74.947590427278556</v>
      </c>
      <c r="L307">
        <f t="shared" si="29"/>
        <v>27.200837216626923</v>
      </c>
      <c r="M307">
        <f t="shared" si="30"/>
        <v>1</v>
      </c>
      <c r="N307">
        <f t="shared" si="31"/>
        <v>1.8358980130786623E-21</v>
      </c>
      <c r="O307">
        <f t="shared" si="32"/>
        <v>1</v>
      </c>
      <c r="P307">
        <f t="shared" si="33"/>
        <v>0</v>
      </c>
    </row>
    <row r="308" spans="1:16" x14ac:dyDescent="0.3">
      <c r="A308" s="2">
        <f t="shared" si="34"/>
        <v>304</v>
      </c>
      <c r="B308" s="2">
        <v>25</v>
      </c>
      <c r="C308" s="2">
        <v>0.8</v>
      </c>
      <c r="D308" s="2">
        <v>25</v>
      </c>
      <c r="E308" s="2">
        <v>1</v>
      </c>
      <c r="F308" s="2">
        <v>90</v>
      </c>
      <c r="G308" s="2">
        <v>0.8</v>
      </c>
      <c r="H308" s="2">
        <v>40</v>
      </c>
      <c r="I308" s="2">
        <v>1</v>
      </c>
      <c r="J308" s="2">
        <v>0</v>
      </c>
      <c r="K308">
        <f t="shared" si="28"/>
        <v>77.778437692453977</v>
      </c>
      <c r="L308">
        <f t="shared" si="29"/>
        <v>39.100243153110959</v>
      </c>
      <c r="M308">
        <f t="shared" si="30"/>
        <v>1</v>
      </c>
      <c r="N308">
        <f t="shared" si="31"/>
        <v>1.593211900022326E-17</v>
      </c>
      <c r="O308">
        <f t="shared" si="32"/>
        <v>1</v>
      </c>
      <c r="P308">
        <f t="shared" si="33"/>
        <v>0</v>
      </c>
    </row>
    <row r="309" spans="1:16" x14ac:dyDescent="0.3">
      <c r="A309" s="2">
        <f t="shared" si="34"/>
        <v>305</v>
      </c>
      <c r="B309" s="2">
        <v>15</v>
      </c>
      <c r="C309" s="2">
        <v>0.8</v>
      </c>
      <c r="D309" s="2">
        <v>15</v>
      </c>
      <c r="E309" s="2">
        <v>1</v>
      </c>
      <c r="F309" s="2">
        <v>45</v>
      </c>
      <c r="G309" s="2">
        <v>0.8</v>
      </c>
      <c r="H309" s="2">
        <v>40</v>
      </c>
      <c r="I309" s="2">
        <v>1</v>
      </c>
      <c r="J309" s="2">
        <v>0</v>
      </c>
      <c r="K309">
        <f t="shared" si="28"/>
        <v>72.060559399706079</v>
      </c>
      <c r="L309">
        <f t="shared" si="29"/>
        <v>18.785888036497418</v>
      </c>
      <c r="M309">
        <f t="shared" si="30"/>
        <v>1</v>
      </c>
      <c r="N309">
        <f t="shared" si="31"/>
        <v>7.2963255246959835E-24</v>
      </c>
      <c r="O309">
        <f t="shared" si="32"/>
        <v>1</v>
      </c>
      <c r="P309">
        <f t="shared" si="33"/>
        <v>0</v>
      </c>
    </row>
    <row r="310" spans="1:16" x14ac:dyDescent="0.3">
      <c r="A310" s="2">
        <f t="shared" si="34"/>
        <v>306</v>
      </c>
      <c r="B310" s="2">
        <v>25</v>
      </c>
      <c r="C310" s="2">
        <v>0.4</v>
      </c>
      <c r="D310" s="2">
        <v>25</v>
      </c>
      <c r="E310" s="2">
        <v>1</v>
      </c>
      <c r="F310" s="2">
        <v>45</v>
      </c>
      <c r="G310" s="2">
        <v>0.9</v>
      </c>
      <c r="H310" s="2">
        <v>40</v>
      </c>
      <c r="I310" s="2">
        <v>1</v>
      </c>
      <c r="J310" s="2">
        <v>0</v>
      </c>
      <c r="K310">
        <f t="shared" si="28"/>
        <v>70.645135767118376</v>
      </c>
      <c r="L310">
        <f t="shared" si="29"/>
        <v>46.199347853855429</v>
      </c>
      <c r="M310">
        <f t="shared" si="30"/>
        <v>0.99999999997582711</v>
      </c>
      <c r="N310">
        <f t="shared" si="31"/>
        <v>2.4172924938539105E-11</v>
      </c>
      <c r="O310">
        <f t="shared" si="32"/>
        <v>0.99999999997582711</v>
      </c>
      <c r="P310">
        <f t="shared" si="33"/>
        <v>-2.4172885915455696E-11</v>
      </c>
    </row>
    <row r="311" spans="1:16" x14ac:dyDescent="0.3">
      <c r="A311" s="2">
        <f t="shared" si="34"/>
        <v>307</v>
      </c>
      <c r="B311" s="2">
        <v>20</v>
      </c>
      <c r="C311" s="2">
        <v>0.8</v>
      </c>
      <c r="D311" s="2">
        <v>20</v>
      </c>
      <c r="E311" s="2">
        <v>1</v>
      </c>
      <c r="F311" s="2">
        <v>60</v>
      </c>
      <c r="G311" s="2">
        <v>0.8</v>
      </c>
      <c r="H311" s="2">
        <v>40</v>
      </c>
      <c r="I311" s="2">
        <v>1</v>
      </c>
      <c r="J311" s="2">
        <v>0</v>
      </c>
      <c r="K311">
        <f t="shared" si="28"/>
        <v>73.96651883062205</v>
      </c>
      <c r="L311">
        <f t="shared" si="29"/>
        <v>28.943065594804185</v>
      </c>
      <c r="M311">
        <f t="shared" si="30"/>
        <v>1</v>
      </c>
      <c r="N311">
        <f t="shared" si="31"/>
        <v>2.7961644087709379E-20</v>
      </c>
      <c r="O311">
        <f t="shared" si="32"/>
        <v>1</v>
      </c>
      <c r="P311">
        <f t="shared" si="33"/>
        <v>0</v>
      </c>
    </row>
    <row r="312" spans="1:16" x14ac:dyDescent="0.3">
      <c r="A312" s="2">
        <f t="shared" si="34"/>
        <v>308</v>
      </c>
      <c r="B312" s="2">
        <v>20</v>
      </c>
      <c r="C312" s="2">
        <v>0.6</v>
      </c>
      <c r="D312" s="2">
        <v>20</v>
      </c>
      <c r="E312" s="2">
        <v>1</v>
      </c>
      <c r="F312" s="2">
        <v>90</v>
      </c>
      <c r="G312" s="2">
        <v>0.9</v>
      </c>
      <c r="H312" s="2">
        <v>20</v>
      </c>
      <c r="I312" s="2">
        <v>1</v>
      </c>
      <c r="J312" s="2">
        <v>0</v>
      </c>
      <c r="K312">
        <f t="shared" si="28"/>
        <v>37.529978976036332</v>
      </c>
      <c r="L312">
        <f t="shared" si="29"/>
        <v>32.49261794517642</v>
      </c>
      <c r="M312">
        <f t="shared" si="30"/>
        <v>0.99355100459119605</v>
      </c>
      <c r="N312">
        <f t="shared" si="31"/>
        <v>6.4489954088039854E-3</v>
      </c>
      <c r="O312">
        <f t="shared" si="32"/>
        <v>0.99355100459119605</v>
      </c>
      <c r="P312">
        <f t="shared" si="33"/>
        <v>-6.4698800179488446E-3</v>
      </c>
    </row>
    <row r="313" spans="1:16" x14ac:dyDescent="0.3">
      <c r="A313" s="2">
        <f t="shared" si="34"/>
        <v>309</v>
      </c>
      <c r="B313" s="2">
        <v>15</v>
      </c>
      <c r="C313" s="2">
        <v>0.6</v>
      </c>
      <c r="D313" s="2">
        <v>25</v>
      </c>
      <c r="E313" s="2">
        <v>1</v>
      </c>
      <c r="F313" s="2">
        <v>60</v>
      </c>
      <c r="G313" s="2">
        <v>1</v>
      </c>
      <c r="H313" s="2">
        <v>20</v>
      </c>
      <c r="I313" s="2">
        <v>0</v>
      </c>
      <c r="J313" s="2">
        <v>1</v>
      </c>
      <c r="K313">
        <f t="shared" si="28"/>
        <v>32.302636481616688</v>
      </c>
      <c r="L313">
        <f t="shared" si="29"/>
        <v>40.018106544713142</v>
      </c>
      <c r="M313">
        <f t="shared" si="30"/>
        <v>4.4567710875082834E-4</v>
      </c>
      <c r="N313">
        <f t="shared" si="31"/>
        <v>0.99955432289124913</v>
      </c>
      <c r="O313">
        <f t="shared" si="32"/>
        <v>0.99955432289124913</v>
      </c>
      <c r="P313">
        <f t="shared" si="33"/>
        <v>-4.4577645231137086E-4</v>
      </c>
    </row>
    <row r="314" spans="1:16" x14ac:dyDescent="0.3">
      <c r="A314" s="2">
        <f t="shared" si="34"/>
        <v>310</v>
      </c>
      <c r="B314" s="2">
        <v>25</v>
      </c>
      <c r="C314" s="2">
        <v>0.6</v>
      </c>
      <c r="D314" s="2">
        <v>20</v>
      </c>
      <c r="E314" s="2">
        <v>1</v>
      </c>
      <c r="F314" s="2">
        <v>90</v>
      </c>
      <c r="G314" s="2">
        <v>1</v>
      </c>
      <c r="H314" s="2">
        <v>20</v>
      </c>
      <c r="I314" s="2">
        <v>1</v>
      </c>
      <c r="J314" s="2">
        <v>0</v>
      </c>
      <c r="K314">
        <f t="shared" si="28"/>
        <v>36.114555343448615</v>
      </c>
      <c r="L314">
        <f t="shared" si="29"/>
        <v>33.808462424561448</v>
      </c>
      <c r="M314">
        <f t="shared" si="30"/>
        <v>0.90938039634054024</v>
      </c>
      <c r="N314">
        <f t="shared" si="31"/>
        <v>9.0619603659459827E-2</v>
      </c>
      <c r="O314">
        <f t="shared" si="32"/>
        <v>0.90938039634054024</v>
      </c>
      <c r="P314">
        <f t="shared" si="33"/>
        <v>-9.4991794519704825E-2</v>
      </c>
    </row>
    <row r="315" spans="1:16" x14ac:dyDescent="0.3">
      <c r="A315" s="2">
        <f t="shared" si="34"/>
        <v>311</v>
      </c>
      <c r="B315" s="2">
        <v>15</v>
      </c>
      <c r="C315" s="2">
        <v>0.6</v>
      </c>
      <c r="D315" s="2">
        <v>15</v>
      </c>
      <c r="E315" s="2">
        <v>1</v>
      </c>
      <c r="F315" s="2">
        <v>45</v>
      </c>
      <c r="G315" s="2">
        <v>0.9</v>
      </c>
      <c r="H315" s="2">
        <v>10</v>
      </c>
      <c r="I315" s="2">
        <v>0</v>
      </c>
      <c r="J315" s="2">
        <v>1</v>
      </c>
      <c r="K315">
        <f t="shared" si="28"/>
        <v>12.395583141373463</v>
      </c>
      <c r="L315">
        <f t="shared" si="29"/>
        <v>22.335440386869656</v>
      </c>
      <c r="M315">
        <f t="shared" si="30"/>
        <v>4.821186243773149E-5</v>
      </c>
      <c r="N315">
        <f t="shared" si="31"/>
        <v>0.99995178813756225</v>
      </c>
      <c r="O315">
        <f t="shared" si="32"/>
        <v>0.99995178813756225</v>
      </c>
      <c r="P315">
        <f t="shared" si="33"/>
        <v>-4.821302466694805E-5</v>
      </c>
    </row>
    <row r="316" spans="1:16" x14ac:dyDescent="0.3">
      <c r="A316" s="2">
        <f t="shared" si="34"/>
        <v>312</v>
      </c>
      <c r="B316" s="2">
        <v>25</v>
      </c>
      <c r="C316" s="2">
        <v>0.8</v>
      </c>
      <c r="D316" s="2">
        <v>15</v>
      </c>
      <c r="E316" s="2">
        <v>1</v>
      </c>
      <c r="F316" s="2">
        <v>90</v>
      </c>
      <c r="G316" s="2">
        <v>0.8</v>
      </c>
      <c r="H316" s="2">
        <v>40</v>
      </c>
      <c r="I316" s="2">
        <v>1</v>
      </c>
      <c r="J316" s="2">
        <v>0</v>
      </c>
      <c r="K316">
        <f t="shared" si="28"/>
        <v>77.778437692453977</v>
      </c>
      <c r="L316">
        <f t="shared" si="29"/>
        <v>21.417576995267474</v>
      </c>
      <c r="M316">
        <f t="shared" si="30"/>
        <v>1</v>
      </c>
      <c r="N316">
        <f t="shared" si="31"/>
        <v>3.3326461486388342E-25</v>
      </c>
      <c r="O316">
        <f t="shared" si="32"/>
        <v>1</v>
      </c>
      <c r="P316">
        <f t="shared" si="33"/>
        <v>0</v>
      </c>
    </row>
    <row r="317" spans="1:16" x14ac:dyDescent="0.3">
      <c r="A317" s="2">
        <f t="shared" si="34"/>
        <v>313</v>
      </c>
      <c r="B317" s="2">
        <v>25</v>
      </c>
      <c r="C317" s="2">
        <v>0.8</v>
      </c>
      <c r="D317" s="2">
        <v>15</v>
      </c>
      <c r="E317" s="2">
        <v>1</v>
      </c>
      <c r="F317" s="2">
        <v>45</v>
      </c>
      <c r="G317" s="2">
        <v>0.9</v>
      </c>
      <c r="H317" s="2">
        <v>40</v>
      </c>
      <c r="I317" s="2">
        <v>1</v>
      </c>
      <c r="J317" s="2">
        <v>0</v>
      </c>
      <c r="K317">
        <f t="shared" si="28"/>
        <v>70.645135767118376</v>
      </c>
      <c r="L317">
        <f t="shared" si="29"/>
        <v>21.417576995267474</v>
      </c>
      <c r="M317">
        <f t="shared" si="30"/>
        <v>1</v>
      </c>
      <c r="N317">
        <f t="shared" si="31"/>
        <v>4.1758305557138671E-22</v>
      </c>
      <c r="O317">
        <f t="shared" si="32"/>
        <v>1</v>
      </c>
      <c r="P317">
        <f t="shared" si="33"/>
        <v>0</v>
      </c>
    </row>
    <row r="318" spans="1:16" x14ac:dyDescent="0.3">
      <c r="A318" s="2">
        <f t="shared" si="34"/>
        <v>314</v>
      </c>
      <c r="B318" s="2">
        <v>15</v>
      </c>
      <c r="C318" s="2">
        <v>0.6</v>
      </c>
      <c r="D318" s="2">
        <v>20</v>
      </c>
      <c r="E318" s="2">
        <v>1</v>
      </c>
      <c r="F318" s="2">
        <v>60</v>
      </c>
      <c r="G318" s="2">
        <v>0.8</v>
      </c>
      <c r="H318" s="2">
        <v>40</v>
      </c>
      <c r="I318" s="2">
        <v>1</v>
      </c>
      <c r="J318" s="2">
        <v>0</v>
      </c>
      <c r="K318">
        <f t="shared" si="28"/>
        <v>73.96651883062205</v>
      </c>
      <c r="L318">
        <f t="shared" si="29"/>
        <v>31.176773465791396</v>
      </c>
      <c r="M318">
        <f t="shared" si="30"/>
        <v>1</v>
      </c>
      <c r="N318">
        <f t="shared" si="31"/>
        <v>2.610055282268863E-19</v>
      </c>
      <c r="O318">
        <f t="shared" si="32"/>
        <v>1</v>
      </c>
      <c r="P318">
        <f t="shared" si="33"/>
        <v>0</v>
      </c>
    </row>
    <row r="319" spans="1:16" x14ac:dyDescent="0.3">
      <c r="A319" s="2">
        <f t="shared" si="34"/>
        <v>315</v>
      </c>
      <c r="B319" s="2">
        <v>20</v>
      </c>
      <c r="C319" s="2">
        <v>0.8</v>
      </c>
      <c r="D319" s="2">
        <v>20</v>
      </c>
      <c r="E319" s="2">
        <v>1</v>
      </c>
      <c r="F319" s="2">
        <v>45</v>
      </c>
      <c r="G319" s="2">
        <v>0.8</v>
      </c>
      <c r="H319" s="2">
        <v>10</v>
      </c>
      <c r="I319" s="2">
        <v>0</v>
      </c>
      <c r="J319" s="2">
        <v>1</v>
      </c>
      <c r="K319">
        <f t="shared" si="28"/>
        <v>13.811006773961173</v>
      </c>
      <c r="L319">
        <f t="shared" si="29"/>
        <v>28.943065594804185</v>
      </c>
      <c r="M319">
        <f t="shared" si="30"/>
        <v>2.6805890417138057E-7</v>
      </c>
      <c r="N319">
        <f t="shared" si="31"/>
        <v>0.99999973194109582</v>
      </c>
      <c r="O319">
        <f t="shared" si="32"/>
        <v>0.99999973194109582</v>
      </c>
      <c r="P319">
        <f t="shared" si="33"/>
        <v>-2.6805894011259254E-7</v>
      </c>
    </row>
    <row r="320" spans="1:16" x14ac:dyDescent="0.3">
      <c r="A320" s="2">
        <f t="shared" si="34"/>
        <v>316</v>
      </c>
      <c r="B320" s="2">
        <v>15</v>
      </c>
      <c r="C320" s="2">
        <v>0.4</v>
      </c>
      <c r="D320" s="2">
        <v>15</v>
      </c>
      <c r="E320" s="2">
        <v>1</v>
      </c>
      <c r="F320" s="2">
        <v>60</v>
      </c>
      <c r="G320" s="2">
        <v>0.9</v>
      </c>
      <c r="H320" s="2">
        <v>20</v>
      </c>
      <c r="I320" s="2">
        <v>1</v>
      </c>
      <c r="J320" s="2">
        <v>0</v>
      </c>
      <c r="K320">
        <f t="shared" si="28"/>
        <v>33.718060114204398</v>
      </c>
      <c r="L320">
        <f t="shared" si="29"/>
        <v>25.884992737241895</v>
      </c>
      <c r="M320">
        <f t="shared" si="30"/>
        <v>0.99960374939505359</v>
      </c>
      <c r="N320">
        <f t="shared" si="31"/>
        <v>3.9625060494634883E-4</v>
      </c>
      <c r="O320">
        <f t="shared" si="32"/>
        <v>0.99960374939505359</v>
      </c>
      <c r="P320">
        <f t="shared" si="33"/>
        <v>-3.9632913296257444E-4</v>
      </c>
    </row>
    <row r="321" spans="1:16" x14ac:dyDescent="0.3">
      <c r="A321" s="2">
        <f t="shared" si="34"/>
        <v>317</v>
      </c>
      <c r="B321" s="2">
        <v>25</v>
      </c>
      <c r="C321" s="2">
        <v>0.6</v>
      </c>
      <c r="D321" s="2">
        <v>25</v>
      </c>
      <c r="E321" s="2">
        <v>1</v>
      </c>
      <c r="F321" s="2">
        <v>60</v>
      </c>
      <c r="G321" s="2">
        <v>0.9</v>
      </c>
      <c r="H321" s="2">
        <v>10</v>
      </c>
      <c r="I321" s="2">
        <v>0</v>
      </c>
      <c r="J321" s="2">
        <v>1</v>
      </c>
      <c r="K321">
        <f t="shared" si="28"/>
        <v>14.301542572289428</v>
      </c>
      <c r="L321">
        <f t="shared" si="29"/>
        <v>42.649795503483197</v>
      </c>
      <c r="M321">
        <f t="shared" si="30"/>
        <v>4.8810154280030355E-13</v>
      </c>
      <c r="N321">
        <f t="shared" si="31"/>
        <v>0.99999999999951195</v>
      </c>
      <c r="O321">
        <f t="shared" si="32"/>
        <v>0.99999999999951195</v>
      </c>
      <c r="P321">
        <f t="shared" si="33"/>
        <v>-4.8805404162533786E-13</v>
      </c>
    </row>
    <row r="322" spans="1:16" x14ac:dyDescent="0.3">
      <c r="A322" s="2">
        <f t="shared" si="34"/>
        <v>318</v>
      </c>
      <c r="B322" s="2">
        <v>15</v>
      </c>
      <c r="C322" s="2">
        <v>0.8</v>
      </c>
      <c r="D322" s="2">
        <v>15</v>
      </c>
      <c r="E322" s="2">
        <v>1</v>
      </c>
      <c r="F322" s="2">
        <v>45</v>
      </c>
      <c r="G322" s="2">
        <v>0.8</v>
      </c>
      <c r="H322" s="2">
        <v>20</v>
      </c>
      <c r="I322" s="2">
        <v>1</v>
      </c>
      <c r="J322" s="2">
        <v>0</v>
      </c>
      <c r="K322">
        <f t="shared" si="28"/>
        <v>33.227524315876146</v>
      </c>
      <c r="L322">
        <f t="shared" si="29"/>
        <v>18.785888036497418</v>
      </c>
      <c r="M322">
        <f t="shared" si="30"/>
        <v>0.99999946534107353</v>
      </c>
      <c r="N322">
        <f t="shared" si="31"/>
        <v>5.3465892643370196E-7</v>
      </c>
      <c r="O322">
        <f t="shared" si="32"/>
        <v>0.99999946534107353</v>
      </c>
      <c r="P322">
        <f t="shared" si="33"/>
        <v>-5.3465906939556037E-7</v>
      </c>
    </row>
    <row r="323" spans="1:16" x14ac:dyDescent="0.3">
      <c r="A323" s="2">
        <f t="shared" si="34"/>
        <v>319</v>
      </c>
      <c r="B323" s="2">
        <v>25</v>
      </c>
      <c r="C323" s="2">
        <v>0.6</v>
      </c>
      <c r="D323" s="2">
        <v>25</v>
      </c>
      <c r="E323" s="2">
        <v>1</v>
      </c>
      <c r="F323" s="2">
        <v>60</v>
      </c>
      <c r="G323" s="2">
        <v>0.9</v>
      </c>
      <c r="H323" s="2">
        <v>20</v>
      </c>
      <c r="I323" s="2">
        <v>0</v>
      </c>
      <c r="J323" s="2">
        <v>1</v>
      </c>
      <c r="K323">
        <f t="shared" si="28"/>
        <v>33.718060114204398</v>
      </c>
      <c r="L323">
        <f t="shared" si="29"/>
        <v>42.649795503483197</v>
      </c>
      <c r="M323">
        <f t="shared" si="30"/>
        <v>1.3211107537877228E-4</v>
      </c>
      <c r="N323">
        <f t="shared" si="31"/>
        <v>0.9998678889246212</v>
      </c>
      <c r="O323">
        <f t="shared" si="32"/>
        <v>0.9998678889246212</v>
      </c>
      <c r="P323">
        <f t="shared" si="33"/>
        <v>-1.3211980281559266E-4</v>
      </c>
    </row>
    <row r="324" spans="1:16" x14ac:dyDescent="0.3">
      <c r="A324" s="2">
        <f t="shared" si="34"/>
        <v>320</v>
      </c>
      <c r="B324" s="2">
        <v>25</v>
      </c>
      <c r="C324" s="2">
        <v>0.8</v>
      </c>
      <c r="D324" s="2">
        <v>25</v>
      </c>
      <c r="E324" s="2">
        <v>1</v>
      </c>
      <c r="F324" s="2">
        <v>45</v>
      </c>
      <c r="G324" s="2">
        <v>1</v>
      </c>
      <c r="H324" s="2">
        <v>10</v>
      </c>
      <c r="I324" s="2">
        <v>0</v>
      </c>
      <c r="J324" s="2">
        <v>1</v>
      </c>
      <c r="K324">
        <f t="shared" si="28"/>
        <v>10.980159508785752</v>
      </c>
      <c r="L324">
        <f t="shared" si="29"/>
        <v>39.100243153110959</v>
      </c>
      <c r="M324">
        <f t="shared" si="30"/>
        <v>6.1320098332046277E-13</v>
      </c>
      <c r="N324">
        <f t="shared" si="31"/>
        <v>0.99999999999938671</v>
      </c>
      <c r="O324">
        <f t="shared" si="32"/>
        <v>0.99999999999938671</v>
      </c>
      <c r="P324">
        <f t="shared" si="33"/>
        <v>-6.1328719880312449E-13</v>
      </c>
    </row>
    <row r="325" spans="1:16" x14ac:dyDescent="0.3">
      <c r="A325" s="2">
        <f t="shared" si="34"/>
        <v>321</v>
      </c>
      <c r="B325" s="2">
        <v>20</v>
      </c>
      <c r="C325" s="2">
        <v>0.6</v>
      </c>
      <c r="D325" s="2">
        <v>25</v>
      </c>
      <c r="E325" s="2">
        <v>1</v>
      </c>
      <c r="F325" s="2">
        <v>60</v>
      </c>
      <c r="G325" s="2">
        <v>0.8</v>
      </c>
      <c r="H325" s="2">
        <v>20</v>
      </c>
      <c r="I325" s="2">
        <v>0</v>
      </c>
      <c r="J325" s="2">
        <v>1</v>
      </c>
      <c r="K325">
        <f t="shared" si="28"/>
        <v>35.133483746792109</v>
      </c>
      <c r="L325">
        <f t="shared" si="29"/>
        <v>41.33395102409817</v>
      </c>
      <c r="M325">
        <f t="shared" si="30"/>
        <v>2.0243761392667601E-3</v>
      </c>
      <c r="N325">
        <f t="shared" si="31"/>
        <v>0.99797562386073324</v>
      </c>
      <c r="O325">
        <f t="shared" si="32"/>
        <v>0.99797562386073324</v>
      </c>
      <c r="P325">
        <f t="shared" si="33"/>
        <v>-2.0264279582132339E-3</v>
      </c>
    </row>
    <row r="326" spans="1:16" x14ac:dyDescent="0.3">
      <c r="A326" s="2">
        <f t="shared" si="34"/>
        <v>322</v>
      </c>
      <c r="B326" s="2">
        <v>15</v>
      </c>
      <c r="C326" s="2">
        <v>0.6</v>
      </c>
      <c r="D326" s="2">
        <v>15</v>
      </c>
      <c r="E326" s="2">
        <v>1</v>
      </c>
      <c r="F326" s="2">
        <v>45</v>
      </c>
      <c r="G326" s="2">
        <v>0.8</v>
      </c>
      <c r="H326" s="2">
        <v>20</v>
      </c>
      <c r="I326" s="2">
        <v>1</v>
      </c>
      <c r="J326" s="2">
        <v>0</v>
      </c>
      <c r="K326">
        <f t="shared" ref="K326:K389" si="35">$F$3*F326+$G$3*G326+$H$3*H326</f>
        <v>33.227524315876146</v>
      </c>
      <c r="L326">
        <f t="shared" ref="L326:L389" si="36">$B$3*B326+$C$3*C326+$D$3*D326+$E$3*E326</f>
        <v>22.335440386869656</v>
      </c>
      <c r="M326">
        <f t="shared" ref="M326:M389" si="37">EXP(K326)/(EXP(K326)+EXP(L326))</f>
        <v>0.99998139541558639</v>
      </c>
      <c r="N326">
        <f t="shared" ref="N326:N389" si="38">EXP(L326)/(EXP(L326)+EXP(K326))</f>
        <v>1.8604584413625586E-5</v>
      </c>
      <c r="O326">
        <f t="shared" ref="O326:O389" si="39">I326*M326+J326*N326</f>
        <v>0.99998139541558639</v>
      </c>
      <c r="P326">
        <f t="shared" ref="P326:P389" si="40">LN(O326)</f>
        <v>-1.860475748103341E-5</v>
      </c>
    </row>
    <row r="327" spans="1:16" x14ac:dyDescent="0.3">
      <c r="A327" s="2">
        <f t="shared" ref="A327:A390" si="41">A326+1</f>
        <v>323</v>
      </c>
      <c r="B327" s="2">
        <v>25</v>
      </c>
      <c r="C327" s="2">
        <v>0.8</v>
      </c>
      <c r="D327" s="2">
        <v>15</v>
      </c>
      <c r="E327" s="2">
        <v>1</v>
      </c>
      <c r="F327" s="2">
        <v>90</v>
      </c>
      <c r="G327" s="2">
        <v>0.9</v>
      </c>
      <c r="H327" s="2">
        <v>40</v>
      </c>
      <c r="I327" s="2">
        <v>1</v>
      </c>
      <c r="J327" s="2">
        <v>0</v>
      </c>
      <c r="K327">
        <f t="shared" si="35"/>
        <v>76.363014059866273</v>
      </c>
      <c r="L327">
        <f t="shared" si="36"/>
        <v>21.417576995267474</v>
      </c>
      <c r="M327">
        <f t="shared" si="37"/>
        <v>1</v>
      </c>
      <c r="N327">
        <f t="shared" si="38"/>
        <v>1.3724605725622088E-24</v>
      </c>
      <c r="O327">
        <f t="shared" si="39"/>
        <v>1</v>
      </c>
      <c r="P327">
        <f t="shared" si="40"/>
        <v>0</v>
      </c>
    </row>
    <row r="328" spans="1:16" x14ac:dyDescent="0.3">
      <c r="A328" s="2">
        <f t="shared" si="41"/>
        <v>324</v>
      </c>
      <c r="B328" s="2">
        <v>20</v>
      </c>
      <c r="C328" s="2">
        <v>0.4</v>
      </c>
      <c r="D328" s="2">
        <v>20</v>
      </c>
      <c r="E328" s="2">
        <v>1</v>
      </c>
      <c r="F328" s="2">
        <v>90</v>
      </c>
      <c r="G328" s="2">
        <v>1</v>
      </c>
      <c r="H328" s="2">
        <v>10</v>
      </c>
      <c r="I328" s="2">
        <v>0</v>
      </c>
      <c r="J328" s="2">
        <v>1</v>
      </c>
      <c r="K328">
        <f t="shared" si="35"/>
        <v>16.698037801533648</v>
      </c>
      <c r="L328">
        <f t="shared" si="36"/>
        <v>36.042170295548658</v>
      </c>
      <c r="M328">
        <f t="shared" si="37"/>
        <v>3.9714582274619936E-9</v>
      </c>
      <c r="N328">
        <f t="shared" si="38"/>
        <v>0.99999999602854184</v>
      </c>
      <c r="O328">
        <f t="shared" si="39"/>
        <v>0.99999999602854184</v>
      </c>
      <c r="P328">
        <f t="shared" si="40"/>
        <v>-3.971458170219148E-9</v>
      </c>
    </row>
    <row r="329" spans="1:16" x14ac:dyDescent="0.3">
      <c r="A329" s="2">
        <f t="shared" si="41"/>
        <v>325</v>
      </c>
      <c r="B329" s="2">
        <v>25</v>
      </c>
      <c r="C329" s="2">
        <v>0.6</v>
      </c>
      <c r="D329" s="2">
        <v>15</v>
      </c>
      <c r="E329" s="2">
        <v>1</v>
      </c>
      <c r="F329" s="2">
        <v>60</v>
      </c>
      <c r="G329" s="2">
        <v>1</v>
      </c>
      <c r="H329" s="2">
        <v>10</v>
      </c>
      <c r="I329" s="2">
        <v>0</v>
      </c>
      <c r="J329" s="2">
        <v>1</v>
      </c>
      <c r="K329">
        <f t="shared" si="35"/>
        <v>12.886118939701717</v>
      </c>
      <c r="L329">
        <f t="shared" si="36"/>
        <v>24.967129345639712</v>
      </c>
      <c r="M329">
        <f t="shared" si="37"/>
        <v>5.6660628053466037E-6</v>
      </c>
      <c r="N329">
        <f t="shared" si="38"/>
        <v>0.99999433393719461</v>
      </c>
      <c r="O329">
        <f t="shared" si="39"/>
        <v>0.99999433393719461</v>
      </c>
      <c r="P329">
        <f t="shared" si="40"/>
        <v>-5.6660788575817767E-6</v>
      </c>
    </row>
    <row r="330" spans="1:16" x14ac:dyDescent="0.3">
      <c r="A330" s="2">
        <f t="shared" si="41"/>
        <v>326</v>
      </c>
      <c r="B330" s="2">
        <v>15</v>
      </c>
      <c r="C330" s="2">
        <v>0.8</v>
      </c>
      <c r="D330" s="2">
        <v>15</v>
      </c>
      <c r="E330" s="2">
        <v>1</v>
      </c>
      <c r="F330" s="2">
        <v>60</v>
      </c>
      <c r="G330" s="2">
        <v>0.9</v>
      </c>
      <c r="H330" s="2">
        <v>10</v>
      </c>
      <c r="I330" s="2">
        <v>0</v>
      </c>
      <c r="J330" s="2">
        <v>1</v>
      </c>
      <c r="K330">
        <f t="shared" si="35"/>
        <v>14.301542572289428</v>
      </c>
      <c r="L330">
        <f t="shared" si="36"/>
        <v>18.785888036497418</v>
      </c>
      <c r="M330">
        <f t="shared" si="37"/>
        <v>1.1158357136824304E-2</v>
      </c>
      <c r="N330">
        <f t="shared" si="38"/>
        <v>0.98884164286317566</v>
      </c>
      <c r="O330">
        <f t="shared" si="39"/>
        <v>0.98884164286317566</v>
      </c>
      <c r="P330">
        <f t="shared" si="40"/>
        <v>-1.1221078619411433E-2</v>
      </c>
    </row>
    <row r="331" spans="1:16" x14ac:dyDescent="0.3">
      <c r="A331" s="2">
        <f t="shared" si="41"/>
        <v>327</v>
      </c>
      <c r="B331" s="2">
        <v>25</v>
      </c>
      <c r="C331" s="2">
        <v>0.6</v>
      </c>
      <c r="D331" s="2">
        <v>15</v>
      </c>
      <c r="E331" s="2">
        <v>1</v>
      </c>
      <c r="F331" s="2">
        <v>60</v>
      </c>
      <c r="G331" s="2">
        <v>0.8</v>
      </c>
      <c r="H331" s="2">
        <v>20</v>
      </c>
      <c r="I331" s="2">
        <v>1</v>
      </c>
      <c r="J331" s="2">
        <v>0</v>
      </c>
      <c r="K331">
        <f t="shared" si="35"/>
        <v>35.133483746792109</v>
      </c>
      <c r="L331">
        <f t="shared" si="36"/>
        <v>24.967129345639712</v>
      </c>
      <c r="M331">
        <f t="shared" si="37"/>
        <v>0.9999615592645883</v>
      </c>
      <c r="N331">
        <f t="shared" si="38"/>
        <v>3.8440735411727647E-5</v>
      </c>
      <c r="O331">
        <f t="shared" si="39"/>
        <v>0.9999615592645883</v>
      </c>
      <c r="P331">
        <f t="shared" si="40"/>
        <v>-3.8441474275708991E-5</v>
      </c>
    </row>
    <row r="332" spans="1:16" x14ac:dyDescent="0.3">
      <c r="A332" s="2">
        <f t="shared" si="41"/>
        <v>328</v>
      </c>
      <c r="B332" s="2">
        <v>25</v>
      </c>
      <c r="C332" s="2">
        <v>0.6</v>
      </c>
      <c r="D332" s="2">
        <v>20</v>
      </c>
      <c r="E332" s="2">
        <v>1</v>
      </c>
      <c r="F332" s="2">
        <v>90</v>
      </c>
      <c r="G332" s="2">
        <v>0.9</v>
      </c>
      <c r="H332" s="2">
        <v>40</v>
      </c>
      <c r="I332" s="2">
        <v>1</v>
      </c>
      <c r="J332" s="2">
        <v>0</v>
      </c>
      <c r="K332">
        <f t="shared" si="35"/>
        <v>76.363014059866273</v>
      </c>
      <c r="L332">
        <f t="shared" si="36"/>
        <v>33.808462424561448</v>
      </c>
      <c r="M332">
        <f t="shared" si="37"/>
        <v>1</v>
      </c>
      <c r="N332">
        <f t="shared" si="38"/>
        <v>3.302121469883905E-19</v>
      </c>
      <c r="O332">
        <f t="shared" si="39"/>
        <v>1</v>
      </c>
      <c r="P332">
        <f t="shared" si="40"/>
        <v>0</v>
      </c>
    </row>
    <row r="333" spans="1:16" x14ac:dyDescent="0.3">
      <c r="A333" s="2">
        <f t="shared" si="41"/>
        <v>329</v>
      </c>
      <c r="B333" s="2">
        <v>15</v>
      </c>
      <c r="C333" s="2">
        <v>0.6</v>
      </c>
      <c r="D333" s="2">
        <v>15</v>
      </c>
      <c r="E333" s="2">
        <v>1</v>
      </c>
      <c r="F333" s="2">
        <v>45</v>
      </c>
      <c r="G333" s="2">
        <v>1</v>
      </c>
      <c r="H333" s="2">
        <v>10</v>
      </c>
      <c r="I333" s="2">
        <v>0</v>
      </c>
      <c r="J333" s="2">
        <v>1</v>
      </c>
      <c r="K333">
        <f t="shared" si="35"/>
        <v>10.980159508785752</v>
      </c>
      <c r="L333">
        <f t="shared" si="36"/>
        <v>22.335440386869656</v>
      </c>
      <c r="M333">
        <f t="shared" si="37"/>
        <v>1.1707363144493356E-5</v>
      </c>
      <c r="N333">
        <f t="shared" si="38"/>
        <v>0.99998829263685562</v>
      </c>
      <c r="O333">
        <f t="shared" si="39"/>
        <v>0.99998829263685562</v>
      </c>
      <c r="P333">
        <f t="shared" si="40"/>
        <v>-1.1707431676086153E-5</v>
      </c>
    </row>
    <row r="334" spans="1:16" x14ac:dyDescent="0.3">
      <c r="A334" s="2">
        <f t="shared" si="41"/>
        <v>330</v>
      </c>
      <c r="B334" s="2">
        <v>25</v>
      </c>
      <c r="C334" s="2">
        <v>0.4</v>
      </c>
      <c r="D334" s="2">
        <v>15</v>
      </c>
      <c r="E334" s="2">
        <v>1</v>
      </c>
      <c r="F334" s="2">
        <v>60</v>
      </c>
      <c r="G334" s="2">
        <v>0.8</v>
      </c>
      <c r="H334" s="2">
        <v>10</v>
      </c>
      <c r="I334" s="2">
        <v>0</v>
      </c>
      <c r="J334" s="2">
        <v>1</v>
      </c>
      <c r="K334">
        <f t="shared" si="35"/>
        <v>15.716966204877139</v>
      </c>
      <c r="L334">
        <f t="shared" si="36"/>
        <v>28.51668169601195</v>
      </c>
      <c r="M334">
        <f t="shared" si="37"/>
        <v>2.7615505218727403E-6</v>
      </c>
      <c r="N334">
        <f t="shared" si="38"/>
        <v>0.99999723844947819</v>
      </c>
      <c r="O334">
        <f t="shared" si="39"/>
        <v>0.99999723844947819</v>
      </c>
      <c r="P334">
        <f t="shared" si="40"/>
        <v>-2.7615543349002568E-6</v>
      </c>
    </row>
    <row r="335" spans="1:16" x14ac:dyDescent="0.3">
      <c r="A335" s="2">
        <f t="shared" si="41"/>
        <v>331</v>
      </c>
      <c r="B335" s="2">
        <v>25</v>
      </c>
      <c r="C335" s="2">
        <v>0.4</v>
      </c>
      <c r="D335" s="2">
        <v>25</v>
      </c>
      <c r="E335" s="2">
        <v>1</v>
      </c>
      <c r="F335" s="2">
        <v>45</v>
      </c>
      <c r="G335" s="2">
        <v>1</v>
      </c>
      <c r="H335" s="2">
        <v>40</v>
      </c>
      <c r="I335" s="2">
        <v>1</v>
      </c>
      <c r="J335" s="2">
        <v>0</v>
      </c>
      <c r="K335">
        <f t="shared" si="35"/>
        <v>69.229712134530658</v>
      </c>
      <c r="L335">
        <f t="shared" si="36"/>
        <v>46.199347853855429</v>
      </c>
      <c r="M335">
        <f t="shared" si="37"/>
        <v>0.9999999999004503</v>
      </c>
      <c r="N335">
        <f t="shared" si="38"/>
        <v>9.9549681902774992E-11</v>
      </c>
      <c r="O335">
        <f t="shared" si="39"/>
        <v>0.9999999999004503</v>
      </c>
      <c r="P335">
        <f t="shared" si="40"/>
        <v>-9.9549701820204207E-11</v>
      </c>
    </row>
    <row r="336" spans="1:16" x14ac:dyDescent="0.3">
      <c r="A336" s="2">
        <f t="shared" si="41"/>
        <v>332</v>
      </c>
      <c r="B336" s="2">
        <v>25</v>
      </c>
      <c r="C336" s="2">
        <v>0.6</v>
      </c>
      <c r="D336" s="2">
        <v>20</v>
      </c>
      <c r="E336" s="2">
        <v>1</v>
      </c>
      <c r="F336" s="2">
        <v>60</v>
      </c>
      <c r="G336" s="2">
        <v>0.9</v>
      </c>
      <c r="H336" s="2">
        <v>20</v>
      </c>
      <c r="I336" s="2">
        <v>0</v>
      </c>
      <c r="J336" s="2">
        <v>1</v>
      </c>
      <c r="K336">
        <f t="shared" si="35"/>
        <v>33.718060114204398</v>
      </c>
      <c r="L336">
        <f t="shared" si="36"/>
        <v>33.808462424561448</v>
      </c>
      <c r="M336">
        <f t="shared" si="37"/>
        <v>0.47741480192323521</v>
      </c>
      <c r="N336">
        <f t="shared" si="38"/>
        <v>0.52258519807676473</v>
      </c>
      <c r="O336">
        <f t="shared" si="39"/>
        <v>0.52258519807676473</v>
      </c>
      <c r="P336">
        <f t="shared" si="40"/>
        <v>-0.64896724991564259</v>
      </c>
    </row>
    <row r="337" spans="1:16" x14ac:dyDescent="0.3">
      <c r="A337" s="2">
        <f t="shared" si="41"/>
        <v>333</v>
      </c>
      <c r="B337" s="2">
        <v>20</v>
      </c>
      <c r="C337" s="2">
        <v>0.4</v>
      </c>
      <c r="D337" s="2">
        <v>25</v>
      </c>
      <c r="E337" s="2">
        <v>1</v>
      </c>
      <c r="F337" s="2">
        <v>45</v>
      </c>
      <c r="G337" s="2">
        <v>1</v>
      </c>
      <c r="H337" s="2">
        <v>20</v>
      </c>
      <c r="I337" s="2">
        <v>0</v>
      </c>
      <c r="J337" s="2">
        <v>1</v>
      </c>
      <c r="K337">
        <f t="shared" si="35"/>
        <v>30.396677050700724</v>
      </c>
      <c r="L337">
        <f t="shared" si="36"/>
        <v>44.883503374470401</v>
      </c>
      <c r="M337">
        <f t="shared" si="37"/>
        <v>5.1103547073105792E-7</v>
      </c>
      <c r="N337">
        <f t="shared" si="38"/>
        <v>0.99999948896452928</v>
      </c>
      <c r="O337">
        <f t="shared" si="39"/>
        <v>0.99999948896452928</v>
      </c>
      <c r="P337">
        <f t="shared" si="40"/>
        <v>-5.1103560129696131E-7</v>
      </c>
    </row>
    <row r="338" spans="1:16" x14ac:dyDescent="0.3">
      <c r="A338" s="2">
        <f t="shared" si="41"/>
        <v>334</v>
      </c>
      <c r="B338" s="2">
        <v>15</v>
      </c>
      <c r="C338" s="2">
        <v>0.4</v>
      </c>
      <c r="D338" s="2">
        <v>20</v>
      </c>
      <c r="E338" s="2">
        <v>1</v>
      </c>
      <c r="F338" s="2">
        <v>60</v>
      </c>
      <c r="G338" s="2">
        <v>1</v>
      </c>
      <c r="H338" s="2">
        <v>20</v>
      </c>
      <c r="I338" s="2">
        <v>0</v>
      </c>
      <c r="J338" s="2">
        <v>1</v>
      </c>
      <c r="K338">
        <f t="shared" si="35"/>
        <v>32.302636481616688</v>
      </c>
      <c r="L338">
        <f t="shared" si="36"/>
        <v>34.72632581616363</v>
      </c>
      <c r="M338">
        <f t="shared" si="37"/>
        <v>8.1384012074691606E-2</v>
      </c>
      <c r="N338">
        <f t="shared" si="38"/>
        <v>0.9186159879253083</v>
      </c>
      <c r="O338">
        <f t="shared" si="39"/>
        <v>0.9186159879253083</v>
      </c>
      <c r="P338">
        <f t="shared" si="40"/>
        <v>-8.4887102576860621E-2</v>
      </c>
    </row>
    <row r="339" spans="1:16" x14ac:dyDescent="0.3">
      <c r="A339" s="2">
        <f t="shared" si="41"/>
        <v>335</v>
      </c>
      <c r="B339" s="2">
        <v>15</v>
      </c>
      <c r="C339" s="2">
        <v>0.4</v>
      </c>
      <c r="D339" s="2">
        <v>20</v>
      </c>
      <c r="E339" s="2">
        <v>1</v>
      </c>
      <c r="F339" s="2">
        <v>45</v>
      </c>
      <c r="G339" s="2">
        <v>0.8</v>
      </c>
      <c r="H339" s="2">
        <v>40</v>
      </c>
      <c r="I339" s="2">
        <v>1</v>
      </c>
      <c r="J339" s="2">
        <v>0</v>
      </c>
      <c r="K339">
        <f t="shared" si="35"/>
        <v>72.060559399706079</v>
      </c>
      <c r="L339">
        <f t="shared" si="36"/>
        <v>34.72632581616363</v>
      </c>
      <c r="M339">
        <f t="shared" si="37"/>
        <v>0.99999999999999989</v>
      </c>
      <c r="N339">
        <f t="shared" si="38"/>
        <v>6.1086939692998207E-17</v>
      </c>
      <c r="O339">
        <f t="shared" si="39"/>
        <v>0.99999999999999989</v>
      </c>
      <c r="P339">
        <f t="shared" si="40"/>
        <v>-1.1102230246251565E-16</v>
      </c>
    </row>
    <row r="340" spans="1:16" x14ac:dyDescent="0.3">
      <c r="A340" s="2">
        <f t="shared" si="41"/>
        <v>336</v>
      </c>
      <c r="B340" s="2">
        <v>15</v>
      </c>
      <c r="C340" s="2">
        <v>0.6</v>
      </c>
      <c r="D340" s="2">
        <v>20</v>
      </c>
      <c r="E340" s="2">
        <v>1</v>
      </c>
      <c r="F340" s="2">
        <v>45</v>
      </c>
      <c r="G340" s="2">
        <v>0.9</v>
      </c>
      <c r="H340" s="2">
        <v>20</v>
      </c>
      <c r="I340" s="2">
        <v>1</v>
      </c>
      <c r="J340" s="2">
        <v>0</v>
      </c>
      <c r="K340">
        <f t="shared" si="35"/>
        <v>31.812100683288435</v>
      </c>
      <c r="L340">
        <f t="shared" si="36"/>
        <v>31.176773465791396</v>
      </c>
      <c r="M340">
        <f t="shared" si="37"/>
        <v>0.65369640927512607</v>
      </c>
      <c r="N340">
        <f t="shared" si="38"/>
        <v>0.34630359072487388</v>
      </c>
      <c r="O340">
        <f t="shared" si="39"/>
        <v>0.65369640927512607</v>
      </c>
      <c r="P340">
        <f t="shared" si="40"/>
        <v>-0.42511224130323555</v>
      </c>
    </row>
    <row r="341" spans="1:16" x14ac:dyDescent="0.3">
      <c r="A341" s="2">
        <f t="shared" si="41"/>
        <v>337</v>
      </c>
      <c r="B341" s="2">
        <v>20</v>
      </c>
      <c r="C341" s="2">
        <v>0.6</v>
      </c>
      <c r="D341" s="2">
        <v>25</v>
      </c>
      <c r="E341" s="2">
        <v>1</v>
      </c>
      <c r="F341" s="2">
        <v>60</v>
      </c>
      <c r="G341" s="2">
        <v>0.8</v>
      </c>
      <c r="H341" s="2">
        <v>20</v>
      </c>
      <c r="I341" s="2">
        <v>0</v>
      </c>
      <c r="J341" s="2">
        <v>1</v>
      </c>
      <c r="K341">
        <f t="shared" si="35"/>
        <v>35.133483746792109</v>
      </c>
      <c r="L341">
        <f t="shared" si="36"/>
        <v>41.33395102409817</v>
      </c>
      <c r="M341">
        <f t="shared" si="37"/>
        <v>2.0243761392667601E-3</v>
      </c>
      <c r="N341">
        <f t="shared" si="38"/>
        <v>0.99797562386073324</v>
      </c>
      <c r="O341">
        <f t="shared" si="39"/>
        <v>0.99797562386073324</v>
      </c>
      <c r="P341">
        <f t="shared" si="40"/>
        <v>-2.0264279582132339E-3</v>
      </c>
    </row>
    <row r="342" spans="1:16" x14ac:dyDescent="0.3">
      <c r="A342" s="2">
        <f t="shared" si="41"/>
        <v>338</v>
      </c>
      <c r="B342" s="2">
        <v>15</v>
      </c>
      <c r="C342" s="2">
        <v>0.6</v>
      </c>
      <c r="D342" s="2">
        <v>20</v>
      </c>
      <c r="E342" s="2">
        <v>1</v>
      </c>
      <c r="F342" s="2">
        <v>45</v>
      </c>
      <c r="G342" s="2">
        <v>0.9</v>
      </c>
      <c r="H342" s="2">
        <v>40</v>
      </c>
      <c r="I342" s="2">
        <v>1</v>
      </c>
      <c r="J342" s="2">
        <v>0</v>
      </c>
      <c r="K342">
        <f t="shared" si="35"/>
        <v>70.645135767118376</v>
      </c>
      <c r="L342">
        <f t="shared" si="36"/>
        <v>31.176773465791396</v>
      </c>
      <c r="M342">
        <f t="shared" si="37"/>
        <v>1</v>
      </c>
      <c r="N342">
        <f t="shared" si="38"/>
        <v>7.2294963496803228E-18</v>
      </c>
      <c r="O342">
        <f t="shared" si="39"/>
        <v>1</v>
      </c>
      <c r="P342">
        <f t="shared" si="40"/>
        <v>0</v>
      </c>
    </row>
    <row r="343" spans="1:16" x14ac:dyDescent="0.3">
      <c r="A343" s="2">
        <f t="shared" si="41"/>
        <v>339</v>
      </c>
      <c r="B343" s="2">
        <v>15</v>
      </c>
      <c r="C343" s="2">
        <v>0.6</v>
      </c>
      <c r="D343" s="2">
        <v>25</v>
      </c>
      <c r="E343" s="2">
        <v>1</v>
      </c>
      <c r="F343" s="2">
        <v>45</v>
      </c>
      <c r="G343" s="2">
        <v>0.8</v>
      </c>
      <c r="H343" s="2">
        <v>10</v>
      </c>
      <c r="I343" s="2">
        <v>0</v>
      </c>
      <c r="J343" s="2">
        <v>1</v>
      </c>
      <c r="K343">
        <f t="shared" si="35"/>
        <v>13.811006773961173</v>
      </c>
      <c r="L343">
        <f t="shared" si="36"/>
        <v>40.018106544713142</v>
      </c>
      <c r="M343">
        <f t="shared" si="37"/>
        <v>4.1533753672780727E-12</v>
      </c>
      <c r="N343">
        <f t="shared" si="38"/>
        <v>0.99999999999584654</v>
      </c>
      <c r="O343">
        <f t="shared" si="39"/>
        <v>0.99999999999584654</v>
      </c>
      <c r="P343">
        <f t="shared" si="40"/>
        <v>-4.1534553574337988E-12</v>
      </c>
    </row>
    <row r="344" spans="1:16" x14ac:dyDescent="0.3">
      <c r="A344" s="2">
        <f t="shared" si="41"/>
        <v>340</v>
      </c>
      <c r="B344" s="2">
        <v>15</v>
      </c>
      <c r="C344" s="2">
        <v>0.4</v>
      </c>
      <c r="D344" s="2">
        <v>25</v>
      </c>
      <c r="E344" s="2">
        <v>1</v>
      </c>
      <c r="F344" s="2">
        <v>45</v>
      </c>
      <c r="G344" s="2">
        <v>0.8</v>
      </c>
      <c r="H344" s="2">
        <v>40</v>
      </c>
      <c r="I344" s="2">
        <v>1</v>
      </c>
      <c r="J344" s="2">
        <v>0</v>
      </c>
      <c r="K344">
        <f t="shared" si="35"/>
        <v>72.060559399706079</v>
      </c>
      <c r="L344">
        <f t="shared" si="36"/>
        <v>43.567658895085373</v>
      </c>
      <c r="M344">
        <f t="shared" si="37"/>
        <v>0.99999999999957767</v>
      </c>
      <c r="N344">
        <f t="shared" si="38"/>
        <v>4.2236754314294843E-13</v>
      </c>
      <c r="O344">
        <f t="shared" si="39"/>
        <v>0.99999999999957767</v>
      </c>
      <c r="P344">
        <f t="shared" si="40"/>
        <v>-4.2232883856749871E-13</v>
      </c>
    </row>
    <row r="345" spans="1:16" x14ac:dyDescent="0.3">
      <c r="A345" s="2">
        <f t="shared" si="41"/>
        <v>341</v>
      </c>
      <c r="B345" s="2">
        <v>15</v>
      </c>
      <c r="C345" s="2">
        <v>0.6</v>
      </c>
      <c r="D345" s="2">
        <v>25</v>
      </c>
      <c r="E345" s="2">
        <v>1</v>
      </c>
      <c r="F345" s="2">
        <v>45</v>
      </c>
      <c r="G345" s="2">
        <v>1</v>
      </c>
      <c r="H345" s="2">
        <v>10</v>
      </c>
      <c r="I345" s="2">
        <v>0</v>
      </c>
      <c r="J345" s="2">
        <v>1</v>
      </c>
      <c r="K345">
        <f t="shared" si="35"/>
        <v>10.980159508785752</v>
      </c>
      <c r="L345">
        <f t="shared" si="36"/>
        <v>40.018106544713142</v>
      </c>
      <c r="M345">
        <f t="shared" si="37"/>
        <v>2.4489495389359262E-13</v>
      </c>
      <c r="N345">
        <f t="shared" si="38"/>
        <v>0.9999999999997552</v>
      </c>
      <c r="O345">
        <f t="shared" si="39"/>
        <v>0.9999999999997552</v>
      </c>
      <c r="P345">
        <f t="shared" si="40"/>
        <v>-2.4480417692987701E-13</v>
      </c>
    </row>
    <row r="346" spans="1:16" x14ac:dyDescent="0.3">
      <c r="A346" s="2">
        <f t="shared" si="41"/>
        <v>342</v>
      </c>
      <c r="B346" s="2">
        <v>20</v>
      </c>
      <c r="C346" s="2">
        <v>0.8</v>
      </c>
      <c r="D346" s="2">
        <v>25</v>
      </c>
      <c r="E346" s="2">
        <v>1</v>
      </c>
      <c r="F346" s="2">
        <v>90</v>
      </c>
      <c r="G346" s="2">
        <v>1</v>
      </c>
      <c r="H346" s="2">
        <v>20</v>
      </c>
      <c r="I346" s="2">
        <v>0</v>
      </c>
      <c r="J346" s="2">
        <v>1</v>
      </c>
      <c r="K346">
        <f t="shared" si="35"/>
        <v>36.114555343448615</v>
      </c>
      <c r="L346">
        <f t="shared" si="36"/>
        <v>37.784398673725924</v>
      </c>
      <c r="M346">
        <f t="shared" si="37"/>
        <v>0.15844506810372347</v>
      </c>
      <c r="N346">
        <f t="shared" si="38"/>
        <v>0.8415549318962765</v>
      </c>
      <c r="O346">
        <f t="shared" si="39"/>
        <v>0.8415549318962765</v>
      </c>
      <c r="P346">
        <f t="shared" si="40"/>
        <v>-0.17250398893604477</v>
      </c>
    </row>
    <row r="347" spans="1:16" x14ac:dyDescent="0.3">
      <c r="A347" s="2">
        <f t="shared" si="41"/>
        <v>343</v>
      </c>
      <c r="B347" s="2">
        <v>15</v>
      </c>
      <c r="C347" s="2">
        <v>0.6</v>
      </c>
      <c r="D347" s="2">
        <v>25</v>
      </c>
      <c r="E347" s="2">
        <v>1</v>
      </c>
      <c r="F347" s="2">
        <v>90</v>
      </c>
      <c r="G347" s="2">
        <v>1</v>
      </c>
      <c r="H347" s="2">
        <v>20</v>
      </c>
      <c r="I347" s="2">
        <v>0</v>
      </c>
      <c r="J347" s="2">
        <v>1</v>
      </c>
      <c r="K347">
        <f t="shared" si="35"/>
        <v>36.114555343448615</v>
      </c>
      <c r="L347">
        <f t="shared" si="36"/>
        <v>40.018106544713142</v>
      </c>
      <c r="M347">
        <f t="shared" si="37"/>
        <v>1.9771364329530736E-2</v>
      </c>
      <c r="N347">
        <f t="shared" si="38"/>
        <v>0.98022863567046925</v>
      </c>
      <c r="O347">
        <f t="shared" si="39"/>
        <v>0.98022863567046925</v>
      </c>
      <c r="P347">
        <f t="shared" si="40"/>
        <v>-1.9969432823569559E-2</v>
      </c>
    </row>
    <row r="348" spans="1:16" x14ac:dyDescent="0.3">
      <c r="A348" s="2">
        <f t="shared" si="41"/>
        <v>344</v>
      </c>
      <c r="B348" s="2">
        <v>15</v>
      </c>
      <c r="C348" s="2">
        <v>0.6</v>
      </c>
      <c r="D348" s="2">
        <v>20</v>
      </c>
      <c r="E348" s="2">
        <v>1</v>
      </c>
      <c r="F348" s="2">
        <v>90</v>
      </c>
      <c r="G348" s="2">
        <v>1</v>
      </c>
      <c r="H348" s="2">
        <v>20</v>
      </c>
      <c r="I348" s="2">
        <v>1</v>
      </c>
      <c r="J348" s="2">
        <v>0</v>
      </c>
      <c r="K348">
        <f t="shared" si="35"/>
        <v>36.114555343448615</v>
      </c>
      <c r="L348">
        <f t="shared" si="36"/>
        <v>31.176773465791396</v>
      </c>
      <c r="M348">
        <f t="shared" si="37"/>
        <v>0.99288056405368597</v>
      </c>
      <c r="N348">
        <f t="shared" si="38"/>
        <v>7.1194359463141012E-3</v>
      </c>
      <c r="O348">
        <f t="shared" si="39"/>
        <v>0.99288056405368597</v>
      </c>
      <c r="P348">
        <f t="shared" si="40"/>
        <v>-7.1449000624850406E-3</v>
      </c>
    </row>
    <row r="349" spans="1:16" x14ac:dyDescent="0.3">
      <c r="A349" s="2">
        <f t="shared" si="41"/>
        <v>345</v>
      </c>
      <c r="B349" s="2">
        <v>15</v>
      </c>
      <c r="C349" s="2">
        <v>0.4</v>
      </c>
      <c r="D349" s="2">
        <v>25</v>
      </c>
      <c r="E349" s="2">
        <v>1</v>
      </c>
      <c r="F349" s="2">
        <v>60</v>
      </c>
      <c r="G349" s="2">
        <v>1</v>
      </c>
      <c r="H349" s="2">
        <v>40</v>
      </c>
      <c r="I349" s="2">
        <v>1</v>
      </c>
      <c r="J349" s="2">
        <v>0</v>
      </c>
      <c r="K349">
        <f t="shared" si="35"/>
        <v>71.135671565446629</v>
      </c>
      <c r="L349">
        <f t="shared" si="36"/>
        <v>43.567658895085373</v>
      </c>
      <c r="M349">
        <f t="shared" si="37"/>
        <v>0.99999999999893496</v>
      </c>
      <c r="N349">
        <f t="shared" si="38"/>
        <v>1.0650358340239931E-12</v>
      </c>
      <c r="O349">
        <f t="shared" si="39"/>
        <v>0.99999999999893496</v>
      </c>
      <c r="P349">
        <f t="shared" si="40"/>
        <v>-1.0650369475234797E-12</v>
      </c>
    </row>
    <row r="350" spans="1:16" x14ac:dyDescent="0.3">
      <c r="A350" s="2">
        <f t="shared" si="41"/>
        <v>346</v>
      </c>
      <c r="B350" s="2">
        <v>15</v>
      </c>
      <c r="C350" s="2">
        <v>0.6</v>
      </c>
      <c r="D350" s="2">
        <v>25</v>
      </c>
      <c r="E350" s="2">
        <v>1</v>
      </c>
      <c r="F350" s="2">
        <v>60</v>
      </c>
      <c r="G350" s="2">
        <v>1</v>
      </c>
      <c r="H350" s="2">
        <v>40</v>
      </c>
      <c r="I350" s="2">
        <v>1</v>
      </c>
      <c r="J350" s="2">
        <v>0</v>
      </c>
      <c r="K350">
        <f t="shared" si="35"/>
        <v>71.135671565446629</v>
      </c>
      <c r="L350">
        <f t="shared" si="36"/>
        <v>40.018106544713142</v>
      </c>
      <c r="M350">
        <f t="shared" si="37"/>
        <v>0.99999999999996936</v>
      </c>
      <c r="N350">
        <f t="shared" si="38"/>
        <v>3.0606468459275854E-14</v>
      </c>
      <c r="O350">
        <f t="shared" si="39"/>
        <v>0.99999999999996936</v>
      </c>
      <c r="P350">
        <f t="shared" si="40"/>
        <v>-3.0642155479654788E-14</v>
      </c>
    </row>
    <row r="351" spans="1:16" x14ac:dyDescent="0.3">
      <c r="A351" s="2">
        <f t="shared" si="41"/>
        <v>347</v>
      </c>
      <c r="B351" s="2">
        <v>25</v>
      </c>
      <c r="C351" s="2">
        <v>0.8</v>
      </c>
      <c r="D351" s="2">
        <v>15</v>
      </c>
      <c r="E351" s="2">
        <v>1</v>
      </c>
      <c r="F351" s="2">
        <v>60</v>
      </c>
      <c r="G351" s="2">
        <v>1</v>
      </c>
      <c r="H351" s="2">
        <v>10</v>
      </c>
      <c r="I351" s="2">
        <v>0</v>
      </c>
      <c r="J351" s="2">
        <v>1</v>
      </c>
      <c r="K351">
        <f t="shared" si="35"/>
        <v>12.886118939701717</v>
      </c>
      <c r="L351">
        <f t="shared" si="36"/>
        <v>21.417576995267474</v>
      </c>
      <c r="M351">
        <f t="shared" si="37"/>
        <v>1.9712841211954406E-4</v>
      </c>
      <c r="N351">
        <f t="shared" si="38"/>
        <v>0.9998028715878805</v>
      </c>
      <c r="O351">
        <f t="shared" si="39"/>
        <v>0.9998028715878805</v>
      </c>
      <c r="P351">
        <f t="shared" si="40"/>
        <v>-1.9714784447875047E-4</v>
      </c>
    </row>
    <row r="352" spans="1:16" x14ac:dyDescent="0.3">
      <c r="A352" s="2">
        <f t="shared" si="41"/>
        <v>348</v>
      </c>
      <c r="B352" s="2">
        <v>15</v>
      </c>
      <c r="C352" s="2">
        <v>0.6</v>
      </c>
      <c r="D352" s="2">
        <v>25</v>
      </c>
      <c r="E352" s="2">
        <v>1</v>
      </c>
      <c r="F352" s="2">
        <v>90</v>
      </c>
      <c r="G352" s="2">
        <v>1</v>
      </c>
      <c r="H352" s="2">
        <v>10</v>
      </c>
      <c r="I352" s="2">
        <v>0</v>
      </c>
      <c r="J352" s="2">
        <v>1</v>
      </c>
      <c r="K352">
        <f t="shared" si="35"/>
        <v>16.698037801533648</v>
      </c>
      <c r="L352">
        <f t="shared" si="36"/>
        <v>40.018106544713142</v>
      </c>
      <c r="M352">
        <f t="shared" si="37"/>
        <v>7.4511417797883601E-11</v>
      </c>
      <c r="N352">
        <f t="shared" si="38"/>
        <v>0.99999999992548849</v>
      </c>
      <c r="O352">
        <f t="shared" si="39"/>
        <v>0.99999999992548849</v>
      </c>
      <c r="P352">
        <f t="shared" si="40"/>
        <v>-7.4511508077468735E-11</v>
      </c>
    </row>
    <row r="353" spans="1:16" x14ac:dyDescent="0.3">
      <c r="A353" s="2">
        <f t="shared" si="41"/>
        <v>349</v>
      </c>
      <c r="B353" s="2">
        <v>25</v>
      </c>
      <c r="C353" s="2">
        <v>0.8</v>
      </c>
      <c r="D353" s="2">
        <v>20</v>
      </c>
      <c r="E353" s="2">
        <v>1</v>
      </c>
      <c r="F353" s="2">
        <v>45</v>
      </c>
      <c r="G353" s="2">
        <v>0.8</v>
      </c>
      <c r="H353" s="2">
        <v>40</v>
      </c>
      <c r="I353" s="2">
        <v>1</v>
      </c>
      <c r="J353" s="2">
        <v>0</v>
      </c>
      <c r="K353">
        <f t="shared" si="35"/>
        <v>72.060559399706079</v>
      </c>
      <c r="L353">
        <f t="shared" si="36"/>
        <v>30.258910074189213</v>
      </c>
      <c r="M353">
        <f t="shared" si="37"/>
        <v>1</v>
      </c>
      <c r="N353">
        <f t="shared" si="38"/>
        <v>7.0109095386684017E-19</v>
      </c>
      <c r="O353">
        <f t="shared" si="39"/>
        <v>1</v>
      </c>
      <c r="P353">
        <f t="shared" si="40"/>
        <v>0</v>
      </c>
    </row>
    <row r="354" spans="1:16" x14ac:dyDescent="0.3">
      <c r="A354" s="2">
        <f t="shared" si="41"/>
        <v>350</v>
      </c>
      <c r="B354" s="2">
        <v>20</v>
      </c>
      <c r="C354" s="2">
        <v>0.8</v>
      </c>
      <c r="D354" s="2">
        <v>25</v>
      </c>
      <c r="E354" s="2">
        <v>1</v>
      </c>
      <c r="F354" s="2">
        <v>45</v>
      </c>
      <c r="G354" s="2">
        <v>1</v>
      </c>
      <c r="H354" s="2">
        <v>20</v>
      </c>
      <c r="I354" s="2">
        <v>0</v>
      </c>
      <c r="J354" s="2">
        <v>1</v>
      </c>
      <c r="K354">
        <f t="shared" si="35"/>
        <v>30.396677050700724</v>
      </c>
      <c r="L354">
        <f t="shared" si="36"/>
        <v>37.784398673725924</v>
      </c>
      <c r="M354">
        <f t="shared" si="37"/>
        <v>6.1842153604883821E-4</v>
      </c>
      <c r="N354">
        <f t="shared" si="38"/>
        <v>0.99938157846395126</v>
      </c>
      <c r="O354">
        <f t="shared" si="39"/>
        <v>0.99938157846395126</v>
      </c>
      <c r="P354">
        <f t="shared" si="40"/>
        <v>-6.1861283752089827E-4</v>
      </c>
    </row>
    <row r="355" spans="1:16" x14ac:dyDescent="0.3">
      <c r="A355" s="2">
        <f t="shared" si="41"/>
        <v>351</v>
      </c>
      <c r="B355" s="2">
        <v>20</v>
      </c>
      <c r="C355" s="2">
        <v>0.6</v>
      </c>
      <c r="D355" s="2">
        <v>15</v>
      </c>
      <c r="E355" s="2">
        <v>1</v>
      </c>
      <c r="F355" s="2">
        <v>60</v>
      </c>
      <c r="G355" s="2">
        <v>1</v>
      </c>
      <c r="H355" s="2">
        <v>10</v>
      </c>
      <c r="I355" s="2">
        <v>0</v>
      </c>
      <c r="J355" s="2">
        <v>1</v>
      </c>
      <c r="K355">
        <f t="shared" si="35"/>
        <v>12.886118939701717</v>
      </c>
      <c r="L355">
        <f t="shared" si="36"/>
        <v>23.651284866254684</v>
      </c>
      <c r="M355">
        <f t="shared" si="37"/>
        <v>2.1122176531811296E-5</v>
      </c>
      <c r="N355">
        <f t="shared" si="38"/>
        <v>0.99997887782346806</v>
      </c>
      <c r="O355">
        <f t="shared" si="39"/>
        <v>0.99997887782346806</v>
      </c>
      <c r="P355">
        <f t="shared" si="40"/>
        <v>-2.1122399608252228E-5</v>
      </c>
    </row>
    <row r="356" spans="1:16" x14ac:dyDescent="0.3">
      <c r="A356" s="2">
        <f t="shared" si="41"/>
        <v>352</v>
      </c>
      <c r="B356" s="2">
        <v>15</v>
      </c>
      <c r="C356" s="2">
        <v>0.6</v>
      </c>
      <c r="D356" s="2">
        <v>20</v>
      </c>
      <c r="E356" s="2">
        <v>1</v>
      </c>
      <c r="F356" s="2">
        <v>45</v>
      </c>
      <c r="G356" s="2">
        <v>1</v>
      </c>
      <c r="H356" s="2">
        <v>20</v>
      </c>
      <c r="I356" s="2">
        <v>0</v>
      </c>
      <c r="J356" s="2">
        <v>1</v>
      </c>
      <c r="K356">
        <f t="shared" si="35"/>
        <v>30.396677050700724</v>
      </c>
      <c r="L356">
        <f t="shared" si="36"/>
        <v>31.176773465791396</v>
      </c>
      <c r="M356">
        <f t="shared" si="37"/>
        <v>0.3142991067742697</v>
      </c>
      <c r="N356">
        <f t="shared" si="38"/>
        <v>0.68570089322573036</v>
      </c>
      <c r="O356">
        <f t="shared" si="39"/>
        <v>0.68570089322573036</v>
      </c>
      <c r="P356">
        <f t="shared" si="40"/>
        <v>-0.37731376204467149</v>
      </c>
    </row>
    <row r="357" spans="1:16" x14ac:dyDescent="0.3">
      <c r="A357" s="2">
        <f t="shared" si="41"/>
        <v>353</v>
      </c>
      <c r="B357" s="2">
        <v>20</v>
      </c>
      <c r="C357" s="2">
        <v>0.6</v>
      </c>
      <c r="D357" s="2">
        <v>25</v>
      </c>
      <c r="E357" s="2">
        <v>1</v>
      </c>
      <c r="F357" s="2">
        <v>60</v>
      </c>
      <c r="G357" s="2">
        <v>0.8</v>
      </c>
      <c r="H357" s="2">
        <v>20</v>
      </c>
      <c r="I357" s="2">
        <v>0</v>
      </c>
      <c r="J357" s="2">
        <v>1</v>
      </c>
      <c r="K357">
        <f t="shared" si="35"/>
        <v>35.133483746792109</v>
      </c>
      <c r="L357">
        <f t="shared" si="36"/>
        <v>41.33395102409817</v>
      </c>
      <c r="M357">
        <f t="shared" si="37"/>
        <v>2.0243761392667601E-3</v>
      </c>
      <c r="N357">
        <f t="shared" si="38"/>
        <v>0.99797562386073324</v>
      </c>
      <c r="O357">
        <f t="shared" si="39"/>
        <v>0.99797562386073324</v>
      </c>
      <c r="P357">
        <f t="shared" si="40"/>
        <v>-2.0264279582132339E-3</v>
      </c>
    </row>
    <row r="358" spans="1:16" x14ac:dyDescent="0.3">
      <c r="A358" s="2">
        <f t="shared" si="41"/>
        <v>354</v>
      </c>
      <c r="B358" s="2">
        <v>25</v>
      </c>
      <c r="C358" s="2">
        <v>0.4</v>
      </c>
      <c r="D358" s="2">
        <v>25</v>
      </c>
      <c r="E358" s="2">
        <v>1</v>
      </c>
      <c r="F358" s="2">
        <v>45</v>
      </c>
      <c r="G358" s="2">
        <v>0.9</v>
      </c>
      <c r="H358" s="2">
        <v>20</v>
      </c>
      <c r="I358" s="2">
        <v>0</v>
      </c>
      <c r="J358" s="2">
        <v>1</v>
      </c>
      <c r="K358">
        <f t="shared" si="35"/>
        <v>31.812100683288435</v>
      </c>
      <c r="L358">
        <f t="shared" si="36"/>
        <v>46.199347853855429</v>
      </c>
      <c r="M358">
        <f t="shared" si="37"/>
        <v>5.6454387365454912E-7</v>
      </c>
      <c r="N358">
        <f t="shared" si="38"/>
        <v>0.99999943545612635</v>
      </c>
      <c r="O358">
        <f t="shared" si="39"/>
        <v>0.99999943545612635</v>
      </c>
      <c r="P358">
        <f t="shared" si="40"/>
        <v>-5.6454403300396752E-7</v>
      </c>
    </row>
    <row r="359" spans="1:16" x14ac:dyDescent="0.3">
      <c r="A359" s="2">
        <f t="shared" si="41"/>
        <v>355</v>
      </c>
      <c r="B359" s="2">
        <v>20</v>
      </c>
      <c r="C359" s="2">
        <v>0.4</v>
      </c>
      <c r="D359" s="2">
        <v>20</v>
      </c>
      <c r="E359" s="2">
        <v>1</v>
      </c>
      <c r="F359" s="2">
        <v>60</v>
      </c>
      <c r="G359" s="2">
        <v>1</v>
      </c>
      <c r="H359" s="2">
        <v>40</v>
      </c>
      <c r="I359" s="2">
        <v>1</v>
      </c>
      <c r="J359" s="2">
        <v>0</v>
      </c>
      <c r="K359">
        <f t="shared" si="35"/>
        <v>71.135671565446629</v>
      </c>
      <c r="L359">
        <f t="shared" si="36"/>
        <v>36.042170295548658</v>
      </c>
      <c r="M359">
        <f t="shared" si="37"/>
        <v>0.99999999999999944</v>
      </c>
      <c r="N359">
        <f t="shared" si="38"/>
        <v>5.742302245634369E-16</v>
      </c>
      <c r="O359">
        <f t="shared" si="39"/>
        <v>0.99999999999999944</v>
      </c>
      <c r="P359">
        <f t="shared" si="40"/>
        <v>-5.5511151231257847E-16</v>
      </c>
    </row>
    <row r="360" spans="1:16" x14ac:dyDescent="0.3">
      <c r="A360" s="2">
        <f t="shared" si="41"/>
        <v>356</v>
      </c>
      <c r="B360" s="2">
        <v>20</v>
      </c>
      <c r="C360" s="2">
        <v>0.4</v>
      </c>
      <c r="D360" s="2">
        <v>20</v>
      </c>
      <c r="E360" s="2">
        <v>1</v>
      </c>
      <c r="F360" s="2">
        <v>60</v>
      </c>
      <c r="G360" s="2">
        <v>1</v>
      </c>
      <c r="H360" s="2">
        <v>20</v>
      </c>
      <c r="I360" s="2">
        <v>0</v>
      </c>
      <c r="J360" s="2">
        <v>1</v>
      </c>
      <c r="K360">
        <f t="shared" si="35"/>
        <v>32.302636481616688</v>
      </c>
      <c r="L360">
        <f t="shared" si="36"/>
        <v>36.042170295548658</v>
      </c>
      <c r="M360">
        <f t="shared" si="37"/>
        <v>2.3213506397475426E-2</v>
      </c>
      <c r="N360">
        <f t="shared" si="38"/>
        <v>0.97678649360252456</v>
      </c>
      <c r="O360">
        <f t="shared" si="39"/>
        <v>0.97678649360252456</v>
      </c>
      <c r="P360">
        <f t="shared" si="40"/>
        <v>-2.3487183469481244E-2</v>
      </c>
    </row>
    <row r="361" spans="1:16" x14ac:dyDescent="0.3">
      <c r="A361" s="2">
        <f t="shared" si="41"/>
        <v>357</v>
      </c>
      <c r="B361" s="2">
        <v>15</v>
      </c>
      <c r="C361" s="2">
        <v>0.4</v>
      </c>
      <c r="D361" s="2">
        <v>20</v>
      </c>
      <c r="E361" s="2">
        <v>1</v>
      </c>
      <c r="F361" s="2">
        <v>45</v>
      </c>
      <c r="G361" s="2">
        <v>1</v>
      </c>
      <c r="H361" s="2">
        <v>20</v>
      </c>
      <c r="I361" s="2">
        <v>0</v>
      </c>
      <c r="J361" s="2">
        <v>1</v>
      </c>
      <c r="K361">
        <f t="shared" si="35"/>
        <v>30.396677050700724</v>
      </c>
      <c r="L361">
        <f t="shared" si="36"/>
        <v>34.72632581616363</v>
      </c>
      <c r="M361">
        <f t="shared" si="37"/>
        <v>1.3000922793046373E-2</v>
      </c>
      <c r="N361">
        <f t="shared" si="38"/>
        <v>0.98699907720695368</v>
      </c>
      <c r="O361">
        <f t="shared" si="39"/>
        <v>0.98699907720695368</v>
      </c>
      <c r="P361">
        <f t="shared" si="40"/>
        <v>-1.3086174496454561E-2</v>
      </c>
    </row>
    <row r="362" spans="1:16" x14ac:dyDescent="0.3">
      <c r="A362" s="2">
        <f t="shared" si="41"/>
        <v>358</v>
      </c>
      <c r="B362" s="2">
        <v>20</v>
      </c>
      <c r="C362" s="2">
        <v>0.4</v>
      </c>
      <c r="D362" s="2">
        <v>25</v>
      </c>
      <c r="E362" s="2">
        <v>1</v>
      </c>
      <c r="F362" s="2">
        <v>45</v>
      </c>
      <c r="G362" s="2">
        <v>0.8</v>
      </c>
      <c r="H362" s="2">
        <v>20</v>
      </c>
      <c r="I362" s="2">
        <v>0</v>
      </c>
      <c r="J362" s="2">
        <v>1</v>
      </c>
      <c r="K362">
        <f t="shared" si="35"/>
        <v>33.227524315876146</v>
      </c>
      <c r="L362">
        <f t="shared" si="36"/>
        <v>44.883503374470401</v>
      </c>
      <c r="M362">
        <f t="shared" si="37"/>
        <v>8.6670010589271347E-6</v>
      </c>
      <c r="N362">
        <f t="shared" si="38"/>
        <v>0.99999133299894116</v>
      </c>
      <c r="O362">
        <f t="shared" si="39"/>
        <v>0.99999133299894116</v>
      </c>
      <c r="P362">
        <f t="shared" si="40"/>
        <v>-8.6670386175081342E-6</v>
      </c>
    </row>
    <row r="363" spans="1:16" x14ac:dyDescent="0.3">
      <c r="A363" s="2">
        <f t="shared" si="41"/>
        <v>359</v>
      </c>
      <c r="B363" s="2">
        <v>15</v>
      </c>
      <c r="C363" s="2">
        <v>0.6</v>
      </c>
      <c r="D363" s="2">
        <v>25</v>
      </c>
      <c r="E363" s="2">
        <v>1</v>
      </c>
      <c r="F363" s="2">
        <v>60</v>
      </c>
      <c r="G363" s="2">
        <v>0.9</v>
      </c>
      <c r="H363" s="2">
        <v>20</v>
      </c>
      <c r="I363" s="2">
        <v>0</v>
      </c>
      <c r="J363" s="2">
        <v>1</v>
      </c>
      <c r="K363">
        <f t="shared" si="35"/>
        <v>33.718060114204398</v>
      </c>
      <c r="L363">
        <f t="shared" si="36"/>
        <v>40.018106544713142</v>
      </c>
      <c r="M363">
        <f t="shared" si="37"/>
        <v>1.8328539961610089E-3</v>
      </c>
      <c r="N363">
        <f t="shared" si="38"/>
        <v>0.99816714600383893</v>
      </c>
      <c r="O363">
        <f t="shared" si="39"/>
        <v>0.99816714600383893</v>
      </c>
      <c r="P363">
        <f t="shared" si="40"/>
        <v>-1.8345357282738065E-3</v>
      </c>
    </row>
    <row r="364" spans="1:16" x14ac:dyDescent="0.3">
      <c r="A364" s="2">
        <f t="shared" si="41"/>
        <v>360</v>
      </c>
      <c r="B364" s="2">
        <v>20</v>
      </c>
      <c r="C364" s="2">
        <v>0.8</v>
      </c>
      <c r="D364" s="2">
        <v>25</v>
      </c>
      <c r="E364" s="2">
        <v>1</v>
      </c>
      <c r="F364" s="2">
        <v>45</v>
      </c>
      <c r="G364" s="2">
        <v>1</v>
      </c>
      <c r="H364" s="2">
        <v>40</v>
      </c>
      <c r="I364" s="2">
        <v>1</v>
      </c>
      <c r="J364" s="2">
        <v>0</v>
      </c>
      <c r="K364">
        <f t="shared" si="35"/>
        <v>69.229712134530658</v>
      </c>
      <c r="L364">
        <f t="shared" si="36"/>
        <v>37.784398673725924</v>
      </c>
      <c r="M364">
        <f t="shared" si="37"/>
        <v>0.99999999999997802</v>
      </c>
      <c r="N364">
        <f t="shared" si="38"/>
        <v>2.2053315074473295E-14</v>
      </c>
      <c r="O364">
        <f t="shared" si="39"/>
        <v>0.99999999999997802</v>
      </c>
      <c r="P364">
        <f t="shared" si="40"/>
        <v>-2.1982415887578342E-14</v>
      </c>
    </row>
    <row r="365" spans="1:16" x14ac:dyDescent="0.3">
      <c r="A365" s="2">
        <f t="shared" si="41"/>
        <v>361</v>
      </c>
      <c r="B365" s="2">
        <v>15</v>
      </c>
      <c r="C365" s="2">
        <v>0.8</v>
      </c>
      <c r="D365" s="2">
        <v>20</v>
      </c>
      <c r="E365" s="2">
        <v>1</v>
      </c>
      <c r="F365" s="2">
        <v>90</v>
      </c>
      <c r="G365" s="2">
        <v>0.8</v>
      </c>
      <c r="H365" s="2">
        <v>40</v>
      </c>
      <c r="I365" s="2">
        <v>1</v>
      </c>
      <c r="J365" s="2">
        <v>0</v>
      </c>
      <c r="K365">
        <f t="shared" si="35"/>
        <v>77.778437692453977</v>
      </c>
      <c r="L365">
        <f t="shared" si="36"/>
        <v>27.627221115419157</v>
      </c>
      <c r="M365">
        <f t="shared" si="37"/>
        <v>1</v>
      </c>
      <c r="N365">
        <f t="shared" si="38"/>
        <v>1.65807197885912E-22</v>
      </c>
      <c r="O365">
        <f t="shared" si="39"/>
        <v>1</v>
      </c>
      <c r="P365">
        <f t="shared" si="40"/>
        <v>0</v>
      </c>
    </row>
    <row r="366" spans="1:16" x14ac:dyDescent="0.3">
      <c r="A366" s="2">
        <f t="shared" si="41"/>
        <v>362</v>
      </c>
      <c r="B366" s="2">
        <v>25</v>
      </c>
      <c r="C366" s="2">
        <v>0.4</v>
      </c>
      <c r="D366" s="2">
        <v>25</v>
      </c>
      <c r="E366" s="2">
        <v>1</v>
      </c>
      <c r="F366" s="2">
        <v>60</v>
      </c>
      <c r="G366" s="2">
        <v>0.9</v>
      </c>
      <c r="H366" s="2">
        <v>10</v>
      </c>
      <c r="I366" s="2">
        <v>0</v>
      </c>
      <c r="J366" s="2">
        <v>1</v>
      </c>
      <c r="K366">
        <f t="shared" si="35"/>
        <v>14.301542572289428</v>
      </c>
      <c r="L366">
        <f t="shared" si="36"/>
        <v>46.199347853855429</v>
      </c>
      <c r="M366">
        <f t="shared" si="37"/>
        <v>1.4026818626551919E-14</v>
      </c>
      <c r="N366">
        <f t="shared" si="38"/>
        <v>0.99999999999998601</v>
      </c>
      <c r="O366">
        <f t="shared" si="39"/>
        <v>0.99999999999998601</v>
      </c>
      <c r="P366">
        <f t="shared" si="40"/>
        <v>-1.398881011027707E-14</v>
      </c>
    </row>
    <row r="367" spans="1:16" x14ac:dyDescent="0.3">
      <c r="A367" s="2">
        <f t="shared" si="41"/>
        <v>363</v>
      </c>
      <c r="B367" s="2">
        <v>20</v>
      </c>
      <c r="C367" s="2">
        <v>0.6</v>
      </c>
      <c r="D367" s="2">
        <v>15</v>
      </c>
      <c r="E367" s="2">
        <v>1</v>
      </c>
      <c r="F367" s="2">
        <v>45</v>
      </c>
      <c r="G367" s="2">
        <v>0.8</v>
      </c>
      <c r="H367" s="2">
        <v>10</v>
      </c>
      <c r="I367" s="2">
        <v>0</v>
      </c>
      <c r="J367" s="2">
        <v>1</v>
      </c>
      <c r="K367">
        <f t="shared" si="35"/>
        <v>13.811006773961173</v>
      </c>
      <c r="L367">
        <f t="shared" si="36"/>
        <v>23.651284866254684</v>
      </c>
      <c r="M367">
        <f t="shared" si="37"/>
        <v>5.3259660426304979E-5</v>
      </c>
      <c r="N367">
        <f t="shared" si="38"/>
        <v>0.99994674033957376</v>
      </c>
      <c r="O367">
        <f t="shared" si="39"/>
        <v>0.99994674033957376</v>
      </c>
      <c r="P367">
        <f t="shared" si="40"/>
        <v>-5.3261078772316419E-5</v>
      </c>
    </row>
    <row r="368" spans="1:16" x14ac:dyDescent="0.3">
      <c r="A368" s="2">
        <f t="shared" si="41"/>
        <v>364</v>
      </c>
      <c r="B368" s="2">
        <v>20</v>
      </c>
      <c r="C368" s="2">
        <v>0.6</v>
      </c>
      <c r="D368" s="2">
        <v>15</v>
      </c>
      <c r="E368" s="2">
        <v>1</v>
      </c>
      <c r="F368" s="2">
        <v>60</v>
      </c>
      <c r="G368" s="2">
        <v>1</v>
      </c>
      <c r="H368" s="2">
        <v>40</v>
      </c>
      <c r="I368" s="2">
        <v>1</v>
      </c>
      <c r="J368" s="2">
        <v>0</v>
      </c>
      <c r="K368">
        <f t="shared" si="35"/>
        <v>71.135671565446629</v>
      </c>
      <c r="L368">
        <f t="shared" si="36"/>
        <v>23.651284866254684</v>
      </c>
      <c r="M368">
        <f t="shared" si="37"/>
        <v>1</v>
      </c>
      <c r="N368">
        <f t="shared" si="38"/>
        <v>2.386672779831351E-21</v>
      </c>
      <c r="O368">
        <f t="shared" si="39"/>
        <v>1</v>
      </c>
      <c r="P368">
        <f t="shared" si="40"/>
        <v>0</v>
      </c>
    </row>
    <row r="369" spans="1:16" x14ac:dyDescent="0.3">
      <c r="A369" s="2">
        <f t="shared" si="41"/>
        <v>365</v>
      </c>
      <c r="B369" s="2">
        <v>20</v>
      </c>
      <c r="C369" s="2">
        <v>0.6</v>
      </c>
      <c r="D369" s="2">
        <v>25</v>
      </c>
      <c r="E369" s="2">
        <v>1</v>
      </c>
      <c r="F369" s="2">
        <v>60</v>
      </c>
      <c r="G369" s="2">
        <v>1</v>
      </c>
      <c r="H369" s="2">
        <v>20</v>
      </c>
      <c r="I369" s="2">
        <v>0</v>
      </c>
      <c r="J369" s="2">
        <v>1</v>
      </c>
      <c r="K369">
        <f t="shared" si="35"/>
        <v>32.302636481616688</v>
      </c>
      <c r="L369">
        <f t="shared" si="36"/>
        <v>41.33395102409817</v>
      </c>
      <c r="M369">
        <f t="shared" si="37"/>
        <v>1.195908600334396E-4</v>
      </c>
      <c r="N369">
        <f t="shared" si="38"/>
        <v>0.99988040913996656</v>
      </c>
      <c r="O369">
        <f t="shared" si="39"/>
        <v>0.99988040913996656</v>
      </c>
      <c r="P369">
        <f t="shared" si="40"/>
        <v>-1.1959801159051746E-4</v>
      </c>
    </row>
    <row r="370" spans="1:16" x14ac:dyDescent="0.3">
      <c r="A370" s="2">
        <f t="shared" si="41"/>
        <v>366</v>
      </c>
      <c r="B370" s="2">
        <v>25</v>
      </c>
      <c r="C370" s="2">
        <v>0.6</v>
      </c>
      <c r="D370" s="2">
        <v>25</v>
      </c>
      <c r="E370" s="2">
        <v>1</v>
      </c>
      <c r="F370" s="2">
        <v>45</v>
      </c>
      <c r="G370" s="2">
        <v>0.9</v>
      </c>
      <c r="H370" s="2">
        <v>20</v>
      </c>
      <c r="I370" s="2">
        <v>0</v>
      </c>
      <c r="J370" s="2">
        <v>1</v>
      </c>
      <c r="K370">
        <f t="shared" si="35"/>
        <v>31.812100683288435</v>
      </c>
      <c r="L370">
        <f t="shared" si="36"/>
        <v>42.649795503483197</v>
      </c>
      <c r="M370">
        <f t="shared" si="37"/>
        <v>1.9644474308637647E-5</v>
      </c>
      <c r="N370">
        <f t="shared" si="38"/>
        <v>0.99998035552569131</v>
      </c>
      <c r="O370">
        <f t="shared" si="39"/>
        <v>0.99998035552569131</v>
      </c>
      <c r="P370">
        <f t="shared" si="40"/>
        <v>-1.9644667263901204E-5</v>
      </c>
    </row>
    <row r="371" spans="1:16" x14ac:dyDescent="0.3">
      <c r="A371" s="2">
        <f t="shared" si="41"/>
        <v>367</v>
      </c>
      <c r="B371" s="2">
        <v>15</v>
      </c>
      <c r="C371" s="2">
        <v>0.6</v>
      </c>
      <c r="D371" s="2">
        <v>25</v>
      </c>
      <c r="E371" s="2">
        <v>1</v>
      </c>
      <c r="F371" s="2">
        <v>45</v>
      </c>
      <c r="G371" s="2">
        <v>0.9</v>
      </c>
      <c r="H371" s="2">
        <v>40</v>
      </c>
      <c r="I371" s="2">
        <v>1</v>
      </c>
      <c r="J371" s="2">
        <v>0</v>
      </c>
      <c r="K371">
        <f t="shared" si="35"/>
        <v>70.645135767118376</v>
      </c>
      <c r="L371">
        <f t="shared" si="36"/>
        <v>40.018106544713142</v>
      </c>
      <c r="M371">
        <f t="shared" si="37"/>
        <v>0.99999999999995004</v>
      </c>
      <c r="N371">
        <f t="shared" si="38"/>
        <v>4.9986210255782915E-14</v>
      </c>
      <c r="O371">
        <f t="shared" si="39"/>
        <v>0.99999999999995004</v>
      </c>
      <c r="P371">
        <f t="shared" si="40"/>
        <v>-4.9960036108133294E-14</v>
      </c>
    </row>
    <row r="372" spans="1:16" x14ac:dyDescent="0.3">
      <c r="A372" s="2">
        <f t="shared" si="41"/>
        <v>368</v>
      </c>
      <c r="B372" s="2">
        <v>15</v>
      </c>
      <c r="C372" s="2">
        <v>0.6</v>
      </c>
      <c r="D372" s="2">
        <v>15</v>
      </c>
      <c r="E372" s="2">
        <v>1</v>
      </c>
      <c r="F372" s="2">
        <v>45</v>
      </c>
      <c r="G372" s="2">
        <v>0.9</v>
      </c>
      <c r="H372" s="2">
        <v>10</v>
      </c>
      <c r="I372" s="2">
        <v>0</v>
      </c>
      <c r="J372" s="2">
        <v>1</v>
      </c>
      <c r="K372">
        <f t="shared" si="35"/>
        <v>12.395583141373463</v>
      </c>
      <c r="L372">
        <f t="shared" si="36"/>
        <v>22.335440386869656</v>
      </c>
      <c r="M372">
        <f t="shared" si="37"/>
        <v>4.821186243773149E-5</v>
      </c>
      <c r="N372">
        <f t="shared" si="38"/>
        <v>0.99995178813756225</v>
      </c>
      <c r="O372">
        <f t="shared" si="39"/>
        <v>0.99995178813756225</v>
      </c>
      <c r="P372">
        <f t="shared" si="40"/>
        <v>-4.821302466694805E-5</v>
      </c>
    </row>
    <row r="373" spans="1:16" x14ac:dyDescent="0.3">
      <c r="A373" s="2">
        <f t="shared" si="41"/>
        <v>369</v>
      </c>
      <c r="B373" s="2">
        <v>20</v>
      </c>
      <c r="C373" s="2">
        <v>0.4</v>
      </c>
      <c r="D373" s="2">
        <v>20</v>
      </c>
      <c r="E373" s="2">
        <v>1</v>
      </c>
      <c r="F373" s="2">
        <v>90</v>
      </c>
      <c r="G373" s="2">
        <v>1</v>
      </c>
      <c r="H373" s="2">
        <v>20</v>
      </c>
      <c r="I373" s="2">
        <v>0</v>
      </c>
      <c r="J373" s="2">
        <v>1</v>
      </c>
      <c r="K373">
        <f t="shared" si="35"/>
        <v>36.114555343448615</v>
      </c>
      <c r="L373">
        <f t="shared" si="36"/>
        <v>36.042170295548658</v>
      </c>
      <c r="M373">
        <f t="shared" si="37"/>
        <v>0.51808836468893404</v>
      </c>
      <c r="N373">
        <f t="shared" si="38"/>
        <v>0.4819116353110659</v>
      </c>
      <c r="O373">
        <f t="shared" si="39"/>
        <v>0.4819116353110659</v>
      </c>
      <c r="P373">
        <f t="shared" si="40"/>
        <v>-0.72999451096854795</v>
      </c>
    </row>
    <row r="374" spans="1:16" x14ac:dyDescent="0.3">
      <c r="A374" s="2">
        <f t="shared" si="41"/>
        <v>370</v>
      </c>
      <c r="B374" s="2">
        <v>20</v>
      </c>
      <c r="C374" s="2">
        <v>0.6</v>
      </c>
      <c r="D374" s="2">
        <v>25</v>
      </c>
      <c r="E374" s="2">
        <v>1</v>
      </c>
      <c r="F374" s="2">
        <v>90</v>
      </c>
      <c r="G374" s="2">
        <v>1</v>
      </c>
      <c r="H374" s="2">
        <v>20</v>
      </c>
      <c r="I374" s="2">
        <v>0</v>
      </c>
      <c r="J374" s="2">
        <v>1</v>
      </c>
      <c r="K374">
        <f t="shared" si="35"/>
        <v>36.114555343448615</v>
      </c>
      <c r="L374">
        <f t="shared" si="36"/>
        <v>41.33395102409817</v>
      </c>
      <c r="M374">
        <f t="shared" si="37"/>
        <v>5.381480838896867E-3</v>
      </c>
      <c r="N374">
        <f t="shared" si="38"/>
        <v>0.99461851916110322</v>
      </c>
      <c r="O374">
        <f t="shared" si="39"/>
        <v>0.99461851916110322</v>
      </c>
      <c r="P374">
        <f t="shared" si="40"/>
        <v>-5.3960131673196346E-3</v>
      </c>
    </row>
    <row r="375" spans="1:16" x14ac:dyDescent="0.3">
      <c r="A375" s="2">
        <f t="shared" si="41"/>
        <v>371</v>
      </c>
      <c r="B375" s="2">
        <v>20</v>
      </c>
      <c r="C375" s="2">
        <v>0.4</v>
      </c>
      <c r="D375" s="2">
        <v>25</v>
      </c>
      <c r="E375" s="2">
        <v>1</v>
      </c>
      <c r="F375" s="2">
        <v>60</v>
      </c>
      <c r="G375" s="2">
        <v>1</v>
      </c>
      <c r="H375" s="2">
        <v>40</v>
      </c>
      <c r="I375" s="2">
        <v>1</v>
      </c>
      <c r="J375" s="2">
        <v>0</v>
      </c>
      <c r="K375">
        <f t="shared" si="35"/>
        <v>71.135671565446629</v>
      </c>
      <c r="L375">
        <f t="shared" si="36"/>
        <v>44.883503374470401</v>
      </c>
      <c r="M375">
        <f t="shared" si="37"/>
        <v>0.99999999999602962</v>
      </c>
      <c r="N375">
        <f t="shared" si="38"/>
        <v>3.9703447310558512E-12</v>
      </c>
      <c r="O375">
        <f t="shared" si="39"/>
        <v>0.99999999999602962</v>
      </c>
      <c r="P375">
        <f t="shared" si="40"/>
        <v>-3.9703795806723665E-12</v>
      </c>
    </row>
    <row r="376" spans="1:16" x14ac:dyDescent="0.3">
      <c r="A376" s="2">
        <f t="shared" si="41"/>
        <v>372</v>
      </c>
      <c r="B376" s="2">
        <v>20</v>
      </c>
      <c r="C376" s="2">
        <v>0.6</v>
      </c>
      <c r="D376" s="2">
        <v>20</v>
      </c>
      <c r="E376" s="2">
        <v>1</v>
      </c>
      <c r="F376" s="2">
        <v>90</v>
      </c>
      <c r="G376" s="2">
        <v>0.8</v>
      </c>
      <c r="H376" s="2">
        <v>10</v>
      </c>
      <c r="I376" s="2">
        <v>0</v>
      </c>
      <c r="J376" s="2">
        <v>1</v>
      </c>
      <c r="K376">
        <f t="shared" si="35"/>
        <v>19.528885066709069</v>
      </c>
      <c r="L376">
        <f t="shared" si="36"/>
        <v>32.49261794517642</v>
      </c>
      <c r="M376">
        <f t="shared" si="37"/>
        <v>2.3438041997361957E-6</v>
      </c>
      <c r="N376">
        <f t="shared" si="38"/>
        <v>0.99999765619580028</v>
      </c>
      <c r="O376">
        <f t="shared" si="39"/>
        <v>0.99999765619580028</v>
      </c>
      <c r="P376">
        <f t="shared" si="40"/>
        <v>-2.3438069464359318E-6</v>
      </c>
    </row>
    <row r="377" spans="1:16" x14ac:dyDescent="0.3">
      <c r="A377" s="2">
        <f t="shared" si="41"/>
        <v>373</v>
      </c>
      <c r="B377" s="2">
        <v>20</v>
      </c>
      <c r="C377" s="2">
        <v>0.8</v>
      </c>
      <c r="D377" s="2">
        <v>20</v>
      </c>
      <c r="E377" s="2">
        <v>1</v>
      </c>
      <c r="F377" s="2">
        <v>60</v>
      </c>
      <c r="G377" s="2">
        <v>0.8</v>
      </c>
      <c r="H377" s="2">
        <v>40</v>
      </c>
      <c r="I377" s="2">
        <v>1</v>
      </c>
      <c r="J377" s="2">
        <v>0</v>
      </c>
      <c r="K377">
        <f t="shared" si="35"/>
        <v>73.96651883062205</v>
      </c>
      <c r="L377">
        <f t="shared" si="36"/>
        <v>28.943065594804185</v>
      </c>
      <c r="M377">
        <f t="shared" si="37"/>
        <v>1</v>
      </c>
      <c r="N377">
        <f t="shared" si="38"/>
        <v>2.7961644087709379E-20</v>
      </c>
      <c r="O377">
        <f t="shared" si="39"/>
        <v>1</v>
      </c>
      <c r="P377">
        <f t="shared" si="40"/>
        <v>0</v>
      </c>
    </row>
    <row r="378" spans="1:16" x14ac:dyDescent="0.3">
      <c r="A378" s="2">
        <f t="shared" si="41"/>
        <v>374</v>
      </c>
      <c r="B378" s="2">
        <v>15</v>
      </c>
      <c r="C378" s="2">
        <v>0.8</v>
      </c>
      <c r="D378" s="2">
        <v>25</v>
      </c>
      <c r="E378" s="2">
        <v>1</v>
      </c>
      <c r="F378" s="2">
        <v>60</v>
      </c>
      <c r="G378" s="2">
        <v>1</v>
      </c>
      <c r="H378" s="2">
        <v>40</v>
      </c>
      <c r="I378" s="2">
        <v>1</v>
      </c>
      <c r="J378" s="2">
        <v>0</v>
      </c>
      <c r="K378">
        <f t="shared" si="35"/>
        <v>71.135671565446629</v>
      </c>
      <c r="L378">
        <f t="shared" si="36"/>
        <v>36.468554194340904</v>
      </c>
      <c r="M378">
        <f t="shared" si="37"/>
        <v>0.99999999999999911</v>
      </c>
      <c r="N378">
        <f t="shared" si="38"/>
        <v>8.7955342122939006E-16</v>
      </c>
      <c r="O378">
        <f t="shared" si="39"/>
        <v>0.99999999999999911</v>
      </c>
      <c r="P378">
        <f t="shared" si="40"/>
        <v>-8.8817841970012563E-16</v>
      </c>
    </row>
    <row r="379" spans="1:16" x14ac:dyDescent="0.3">
      <c r="A379" s="2">
        <f t="shared" si="41"/>
        <v>375</v>
      </c>
      <c r="B379" s="2">
        <v>25</v>
      </c>
      <c r="C379" s="2">
        <v>0.8</v>
      </c>
      <c r="D379" s="2">
        <v>25</v>
      </c>
      <c r="E379" s="2">
        <v>1</v>
      </c>
      <c r="F379" s="2">
        <v>60</v>
      </c>
      <c r="G379" s="2">
        <v>1</v>
      </c>
      <c r="H379" s="2">
        <v>10</v>
      </c>
      <c r="I379" s="2">
        <v>0</v>
      </c>
      <c r="J379" s="2">
        <v>1</v>
      </c>
      <c r="K379">
        <f t="shared" si="35"/>
        <v>12.886118939701717</v>
      </c>
      <c r="L379">
        <f t="shared" si="36"/>
        <v>39.100243153110959</v>
      </c>
      <c r="M379">
        <f t="shared" si="37"/>
        <v>4.1243024502407345E-12</v>
      </c>
      <c r="N379">
        <f t="shared" si="38"/>
        <v>0.99999999999587563</v>
      </c>
      <c r="O379">
        <f t="shared" si="39"/>
        <v>0.99999999999587563</v>
      </c>
      <c r="P379">
        <f t="shared" si="40"/>
        <v>-4.1243675141884993E-12</v>
      </c>
    </row>
    <row r="380" spans="1:16" x14ac:dyDescent="0.3">
      <c r="A380" s="2">
        <f t="shared" si="41"/>
        <v>376</v>
      </c>
      <c r="B380" s="2">
        <v>15</v>
      </c>
      <c r="C380" s="2">
        <v>0.8</v>
      </c>
      <c r="D380" s="2">
        <v>20</v>
      </c>
      <c r="E380" s="2">
        <v>1</v>
      </c>
      <c r="F380" s="2">
        <v>90</v>
      </c>
      <c r="G380" s="2">
        <v>0.9</v>
      </c>
      <c r="H380" s="2">
        <v>10</v>
      </c>
      <c r="I380" s="2">
        <v>0</v>
      </c>
      <c r="J380" s="2">
        <v>1</v>
      </c>
      <c r="K380">
        <f t="shared" si="35"/>
        <v>18.113461434121358</v>
      </c>
      <c r="L380">
        <f t="shared" si="36"/>
        <v>27.627221115419157</v>
      </c>
      <c r="M380">
        <f t="shared" si="37"/>
        <v>7.3823495669698375E-5</v>
      </c>
      <c r="N380">
        <f t="shared" si="38"/>
        <v>0.99992617650433024</v>
      </c>
      <c r="O380">
        <f t="shared" si="39"/>
        <v>0.99992617650433024</v>
      </c>
      <c r="P380">
        <f t="shared" si="40"/>
        <v>-7.3826220758130195E-5</v>
      </c>
    </row>
    <row r="381" spans="1:16" x14ac:dyDescent="0.3">
      <c r="A381" s="2">
        <f t="shared" si="41"/>
        <v>377</v>
      </c>
      <c r="B381" s="2">
        <v>25</v>
      </c>
      <c r="C381" s="2">
        <v>0.6</v>
      </c>
      <c r="D381" s="2">
        <v>25</v>
      </c>
      <c r="E381" s="2">
        <v>1</v>
      </c>
      <c r="F381" s="2">
        <v>90</v>
      </c>
      <c r="G381" s="2">
        <v>0.8</v>
      </c>
      <c r="H381" s="2">
        <v>20</v>
      </c>
      <c r="I381" s="2">
        <v>0</v>
      </c>
      <c r="J381" s="2">
        <v>1</v>
      </c>
      <c r="K381">
        <f t="shared" si="35"/>
        <v>38.945402608624036</v>
      </c>
      <c r="L381">
        <f t="shared" si="36"/>
        <v>42.649795503483197</v>
      </c>
      <c r="M381">
        <f t="shared" si="37"/>
        <v>2.4023807042735598E-2</v>
      </c>
      <c r="N381">
        <f t="shared" si="38"/>
        <v>0.97597619295726445</v>
      </c>
      <c r="O381">
        <f t="shared" si="39"/>
        <v>0.97597619295726445</v>
      </c>
      <c r="P381">
        <f t="shared" si="40"/>
        <v>-2.4317085328364706E-2</v>
      </c>
    </row>
    <row r="382" spans="1:16" x14ac:dyDescent="0.3">
      <c r="A382" s="2">
        <f t="shared" si="41"/>
        <v>378</v>
      </c>
      <c r="B382" s="2">
        <v>20</v>
      </c>
      <c r="C382" s="2">
        <v>0.4</v>
      </c>
      <c r="D382" s="2">
        <v>20</v>
      </c>
      <c r="E382" s="2">
        <v>1</v>
      </c>
      <c r="F382" s="2">
        <v>60</v>
      </c>
      <c r="G382" s="2">
        <v>0.9</v>
      </c>
      <c r="H382" s="2">
        <v>40</v>
      </c>
      <c r="I382" s="2">
        <v>1</v>
      </c>
      <c r="J382" s="2">
        <v>0</v>
      </c>
      <c r="K382">
        <f t="shared" si="35"/>
        <v>72.551095198034346</v>
      </c>
      <c r="L382">
        <f t="shared" si="36"/>
        <v>36.042170295548658</v>
      </c>
      <c r="M382">
        <f t="shared" si="37"/>
        <v>0.99999999999999989</v>
      </c>
      <c r="N382">
        <f t="shared" si="38"/>
        <v>1.3943614735326636E-16</v>
      </c>
      <c r="O382">
        <f t="shared" si="39"/>
        <v>0.99999999999999989</v>
      </c>
      <c r="P382">
        <f t="shared" si="40"/>
        <v>-1.1102230246251565E-16</v>
      </c>
    </row>
    <row r="383" spans="1:16" x14ac:dyDescent="0.3">
      <c r="A383" s="2">
        <f t="shared" si="41"/>
        <v>379</v>
      </c>
      <c r="B383" s="2">
        <v>25</v>
      </c>
      <c r="C383" s="2">
        <v>0.8</v>
      </c>
      <c r="D383" s="2">
        <v>20</v>
      </c>
      <c r="E383" s="2">
        <v>1</v>
      </c>
      <c r="F383" s="2">
        <v>60</v>
      </c>
      <c r="G383" s="2">
        <v>0.9</v>
      </c>
      <c r="H383" s="2">
        <v>20</v>
      </c>
      <c r="I383" s="2">
        <v>1</v>
      </c>
      <c r="J383" s="2">
        <v>0</v>
      </c>
      <c r="K383">
        <f t="shared" si="35"/>
        <v>33.718060114204398</v>
      </c>
      <c r="L383">
        <f t="shared" si="36"/>
        <v>30.258910074189213</v>
      </c>
      <c r="M383">
        <f t="shared" si="37"/>
        <v>0.96950284592865987</v>
      </c>
      <c r="N383">
        <f t="shared" si="38"/>
        <v>3.0497154071340137E-2</v>
      </c>
      <c r="O383">
        <f t="shared" si="39"/>
        <v>0.96950284592865987</v>
      </c>
      <c r="P383">
        <f t="shared" si="40"/>
        <v>-3.0971868843543165E-2</v>
      </c>
    </row>
    <row r="384" spans="1:16" x14ac:dyDescent="0.3">
      <c r="A384" s="2">
        <f t="shared" si="41"/>
        <v>380</v>
      </c>
      <c r="B384" s="2">
        <v>15</v>
      </c>
      <c r="C384" s="2">
        <v>0.6</v>
      </c>
      <c r="D384" s="2">
        <v>20</v>
      </c>
      <c r="E384" s="2">
        <v>1</v>
      </c>
      <c r="F384" s="2">
        <v>60</v>
      </c>
      <c r="G384" s="2">
        <v>0.8</v>
      </c>
      <c r="H384" s="2">
        <v>20</v>
      </c>
      <c r="I384" s="2">
        <v>1</v>
      </c>
      <c r="J384" s="2">
        <v>0</v>
      </c>
      <c r="K384">
        <f t="shared" si="35"/>
        <v>35.133483746792109</v>
      </c>
      <c r="L384">
        <f t="shared" si="36"/>
        <v>31.176773465791396</v>
      </c>
      <c r="M384">
        <f t="shared" si="37"/>
        <v>0.98123300635686272</v>
      </c>
      <c r="N384">
        <f t="shared" si="38"/>
        <v>1.8766993643137209E-2</v>
      </c>
      <c r="O384">
        <f t="shared" si="39"/>
        <v>0.98123300635686272</v>
      </c>
      <c r="P384">
        <f t="shared" si="40"/>
        <v>-1.8945328397916326E-2</v>
      </c>
    </row>
    <row r="385" spans="1:16" x14ac:dyDescent="0.3">
      <c r="A385" s="2">
        <f t="shared" si="41"/>
        <v>381</v>
      </c>
      <c r="B385" s="2">
        <v>25</v>
      </c>
      <c r="C385" s="2">
        <v>0.8</v>
      </c>
      <c r="D385" s="2">
        <v>20</v>
      </c>
      <c r="E385" s="2">
        <v>1</v>
      </c>
      <c r="F385" s="2">
        <v>90</v>
      </c>
      <c r="G385" s="2">
        <v>0.9</v>
      </c>
      <c r="H385" s="2">
        <v>20</v>
      </c>
      <c r="I385" s="2">
        <v>1</v>
      </c>
      <c r="J385" s="2">
        <v>0</v>
      </c>
      <c r="K385">
        <f t="shared" si="35"/>
        <v>37.529978976036332</v>
      </c>
      <c r="L385">
        <f t="shared" si="36"/>
        <v>30.258910074189213</v>
      </c>
      <c r="M385">
        <f t="shared" si="37"/>
        <v>0.99930511488519791</v>
      </c>
      <c r="N385">
        <f t="shared" si="38"/>
        <v>6.9488511480208029E-4</v>
      </c>
      <c r="O385">
        <f t="shared" si="39"/>
        <v>0.99930511488519791</v>
      </c>
      <c r="P385">
        <f t="shared" si="40"/>
        <v>-6.9512665936710802E-4</v>
      </c>
    </row>
    <row r="386" spans="1:16" x14ac:dyDescent="0.3">
      <c r="A386" s="2">
        <f t="shared" si="41"/>
        <v>382</v>
      </c>
      <c r="B386" s="2">
        <v>15</v>
      </c>
      <c r="C386" s="2">
        <v>0.8</v>
      </c>
      <c r="D386" s="2">
        <v>15</v>
      </c>
      <c r="E386" s="2">
        <v>1</v>
      </c>
      <c r="F386" s="2">
        <v>45</v>
      </c>
      <c r="G386" s="2">
        <v>1</v>
      </c>
      <c r="H386" s="2">
        <v>40</v>
      </c>
      <c r="I386" s="2">
        <v>1</v>
      </c>
      <c r="J386" s="2">
        <v>0</v>
      </c>
      <c r="K386">
        <f t="shared" si="35"/>
        <v>69.229712134530658</v>
      </c>
      <c r="L386">
        <f t="shared" si="36"/>
        <v>18.785888036497418</v>
      </c>
      <c r="M386">
        <f t="shared" si="37"/>
        <v>1</v>
      </c>
      <c r="N386">
        <f t="shared" si="38"/>
        <v>1.2374439825820306E-22</v>
      </c>
      <c r="O386">
        <f t="shared" si="39"/>
        <v>1</v>
      </c>
      <c r="P386">
        <f t="shared" si="40"/>
        <v>0</v>
      </c>
    </row>
    <row r="387" spans="1:16" x14ac:dyDescent="0.3">
      <c r="A387" s="2">
        <f t="shared" si="41"/>
        <v>383</v>
      </c>
      <c r="B387" s="2">
        <v>20</v>
      </c>
      <c r="C387" s="2">
        <v>0.8</v>
      </c>
      <c r="D387" s="2">
        <v>20</v>
      </c>
      <c r="E387" s="2">
        <v>1</v>
      </c>
      <c r="F387" s="2">
        <v>60</v>
      </c>
      <c r="G387" s="2">
        <v>0.8</v>
      </c>
      <c r="H387" s="2">
        <v>40</v>
      </c>
      <c r="I387" s="2">
        <v>1</v>
      </c>
      <c r="J387" s="2">
        <v>0</v>
      </c>
      <c r="K387">
        <f t="shared" si="35"/>
        <v>73.96651883062205</v>
      </c>
      <c r="L387">
        <f t="shared" si="36"/>
        <v>28.943065594804185</v>
      </c>
      <c r="M387">
        <f t="shared" si="37"/>
        <v>1</v>
      </c>
      <c r="N387">
        <f t="shared" si="38"/>
        <v>2.7961644087709379E-20</v>
      </c>
      <c r="O387">
        <f t="shared" si="39"/>
        <v>1</v>
      </c>
      <c r="P387">
        <f t="shared" si="40"/>
        <v>0</v>
      </c>
    </row>
    <row r="388" spans="1:16" x14ac:dyDescent="0.3">
      <c r="A388" s="2">
        <f t="shared" si="41"/>
        <v>384</v>
      </c>
      <c r="B388" s="2">
        <v>20</v>
      </c>
      <c r="C388" s="2">
        <v>0.4</v>
      </c>
      <c r="D388" s="2">
        <v>20</v>
      </c>
      <c r="E388" s="2">
        <v>1</v>
      </c>
      <c r="F388" s="2">
        <v>90</v>
      </c>
      <c r="G388" s="2">
        <v>1</v>
      </c>
      <c r="H388" s="2">
        <v>20</v>
      </c>
      <c r="I388" s="2">
        <v>1</v>
      </c>
      <c r="J388" s="2">
        <v>0</v>
      </c>
      <c r="K388">
        <f t="shared" si="35"/>
        <v>36.114555343448615</v>
      </c>
      <c r="L388">
        <f t="shared" si="36"/>
        <v>36.042170295548658</v>
      </c>
      <c r="M388">
        <f t="shared" si="37"/>
        <v>0.51808836468893404</v>
      </c>
      <c r="N388">
        <f t="shared" si="38"/>
        <v>0.4819116353110659</v>
      </c>
      <c r="O388">
        <f t="shared" si="39"/>
        <v>0.51808836468893404</v>
      </c>
      <c r="P388">
        <f t="shared" si="40"/>
        <v>-0.65760946306859158</v>
      </c>
    </row>
    <row r="389" spans="1:16" x14ac:dyDescent="0.3">
      <c r="A389" s="2">
        <f t="shared" si="41"/>
        <v>385</v>
      </c>
      <c r="B389" s="2">
        <v>20</v>
      </c>
      <c r="C389" s="2">
        <v>0.8</v>
      </c>
      <c r="D389" s="2">
        <v>25</v>
      </c>
      <c r="E389" s="2">
        <v>1</v>
      </c>
      <c r="F389" s="2">
        <v>90</v>
      </c>
      <c r="G389" s="2">
        <v>1</v>
      </c>
      <c r="H389" s="2">
        <v>20</v>
      </c>
      <c r="I389" s="2">
        <v>0</v>
      </c>
      <c r="J389" s="2">
        <v>1</v>
      </c>
      <c r="K389">
        <f t="shared" si="35"/>
        <v>36.114555343448615</v>
      </c>
      <c r="L389">
        <f t="shared" si="36"/>
        <v>37.784398673725924</v>
      </c>
      <c r="M389">
        <f t="shared" si="37"/>
        <v>0.15844506810372347</v>
      </c>
      <c r="N389">
        <f t="shared" si="38"/>
        <v>0.8415549318962765</v>
      </c>
      <c r="O389">
        <f t="shared" si="39"/>
        <v>0.8415549318962765</v>
      </c>
      <c r="P389">
        <f t="shared" si="40"/>
        <v>-0.17250398893604477</v>
      </c>
    </row>
    <row r="390" spans="1:16" x14ac:dyDescent="0.3">
      <c r="A390" s="2">
        <f t="shared" si="41"/>
        <v>386</v>
      </c>
      <c r="B390" s="2">
        <v>20</v>
      </c>
      <c r="C390" s="2">
        <v>0.6</v>
      </c>
      <c r="D390" s="2">
        <v>25</v>
      </c>
      <c r="E390" s="2">
        <v>1</v>
      </c>
      <c r="F390" s="2">
        <v>45</v>
      </c>
      <c r="G390" s="2">
        <v>1</v>
      </c>
      <c r="H390" s="2">
        <v>10</v>
      </c>
      <c r="I390" s="2">
        <v>0</v>
      </c>
      <c r="J390" s="2">
        <v>1</v>
      </c>
      <c r="K390">
        <f t="shared" ref="K390:K453" si="42">$F$3*F390+$G$3*G390+$H$3*H390</f>
        <v>10.980159508785752</v>
      </c>
      <c r="L390">
        <f t="shared" ref="L390:L453" si="43">$B$3*B390+$C$3*C390+$D$3*D390+$E$3*E390</f>
        <v>41.33395102409817</v>
      </c>
      <c r="M390">
        <f t="shared" ref="M390:M453" si="44">EXP(K390)/(EXP(K390)+EXP(L390))</f>
        <v>6.5692507612117899E-14</v>
      </c>
      <c r="N390">
        <f t="shared" ref="N390:N453" si="45">EXP(L390)/(EXP(L390)+EXP(K390))</f>
        <v>0.99999999999993427</v>
      </c>
      <c r="O390">
        <f t="shared" ref="O390:O453" si="46">I390*M390+J390*N390</f>
        <v>0.99999999999993427</v>
      </c>
      <c r="P390">
        <f t="shared" ref="P390:P453" si="47">LN(O390)</f>
        <v>-6.5725203057811426E-14</v>
      </c>
    </row>
    <row r="391" spans="1:16" x14ac:dyDescent="0.3">
      <c r="A391" s="2">
        <f t="shared" ref="A391:A454" si="48">A390+1</f>
        <v>387</v>
      </c>
      <c r="B391" s="2">
        <v>20</v>
      </c>
      <c r="C391" s="2">
        <v>0.6</v>
      </c>
      <c r="D391" s="2">
        <v>15</v>
      </c>
      <c r="E391" s="2">
        <v>1</v>
      </c>
      <c r="F391" s="2">
        <v>60</v>
      </c>
      <c r="G391" s="2">
        <v>1</v>
      </c>
      <c r="H391" s="2">
        <v>40</v>
      </c>
      <c r="I391" s="2">
        <v>1</v>
      </c>
      <c r="J391" s="2">
        <v>0</v>
      </c>
      <c r="K391">
        <f t="shared" si="42"/>
        <v>71.135671565446629</v>
      </c>
      <c r="L391">
        <f t="shared" si="43"/>
        <v>23.651284866254684</v>
      </c>
      <c r="M391">
        <f t="shared" si="44"/>
        <v>1</v>
      </c>
      <c r="N391">
        <f t="shared" si="45"/>
        <v>2.386672779831351E-21</v>
      </c>
      <c r="O391">
        <f t="shared" si="46"/>
        <v>1</v>
      </c>
      <c r="P391">
        <f t="shared" si="47"/>
        <v>0</v>
      </c>
    </row>
    <row r="392" spans="1:16" x14ac:dyDescent="0.3">
      <c r="A392" s="2">
        <f t="shared" si="48"/>
        <v>388</v>
      </c>
      <c r="B392" s="2">
        <v>20</v>
      </c>
      <c r="C392" s="2">
        <v>0.6</v>
      </c>
      <c r="D392" s="2">
        <v>20</v>
      </c>
      <c r="E392" s="2">
        <v>1</v>
      </c>
      <c r="F392" s="2">
        <v>60</v>
      </c>
      <c r="G392" s="2">
        <v>1</v>
      </c>
      <c r="H392" s="2">
        <v>10</v>
      </c>
      <c r="I392" s="2">
        <v>0</v>
      </c>
      <c r="J392" s="2">
        <v>1</v>
      </c>
      <c r="K392">
        <f t="shared" si="42"/>
        <v>12.886118939701717</v>
      </c>
      <c r="L392">
        <f t="shared" si="43"/>
        <v>32.49261794517642</v>
      </c>
      <c r="M392">
        <f t="shared" si="44"/>
        <v>3.0549610055970583E-9</v>
      </c>
      <c r="N392">
        <f t="shared" si="45"/>
        <v>0.99999999694503894</v>
      </c>
      <c r="O392">
        <f t="shared" si="46"/>
        <v>0.99999999694503894</v>
      </c>
      <c r="P392">
        <f t="shared" si="47"/>
        <v>-3.0549610665654576E-9</v>
      </c>
    </row>
    <row r="393" spans="1:16" x14ac:dyDescent="0.3">
      <c r="A393" s="2">
        <f t="shared" si="48"/>
        <v>389</v>
      </c>
      <c r="B393" s="2">
        <v>25</v>
      </c>
      <c r="C393" s="2">
        <v>0.6</v>
      </c>
      <c r="D393" s="2">
        <v>20</v>
      </c>
      <c r="E393" s="2">
        <v>1</v>
      </c>
      <c r="F393" s="2">
        <v>60</v>
      </c>
      <c r="G393" s="2">
        <v>1</v>
      </c>
      <c r="H393" s="2">
        <v>40</v>
      </c>
      <c r="I393" s="2">
        <v>1</v>
      </c>
      <c r="J393" s="2">
        <v>0</v>
      </c>
      <c r="K393">
        <f t="shared" si="42"/>
        <v>71.135671565446629</v>
      </c>
      <c r="L393">
        <f t="shared" si="43"/>
        <v>33.808462424561448</v>
      </c>
      <c r="M393">
        <f t="shared" si="44"/>
        <v>1</v>
      </c>
      <c r="N393">
        <f t="shared" si="45"/>
        <v>6.1517552033192073E-17</v>
      </c>
      <c r="O393">
        <f t="shared" si="46"/>
        <v>1</v>
      </c>
      <c r="P393">
        <f t="shared" si="47"/>
        <v>0</v>
      </c>
    </row>
    <row r="394" spans="1:16" x14ac:dyDescent="0.3">
      <c r="A394" s="2">
        <f t="shared" si="48"/>
        <v>390</v>
      </c>
      <c r="B394" s="2">
        <v>20</v>
      </c>
      <c r="C394" s="2">
        <v>0.8</v>
      </c>
      <c r="D394" s="2">
        <v>25</v>
      </c>
      <c r="E394" s="2">
        <v>1</v>
      </c>
      <c r="F394" s="2">
        <v>90</v>
      </c>
      <c r="G394" s="2">
        <v>0.9</v>
      </c>
      <c r="H394" s="2">
        <v>20</v>
      </c>
      <c r="I394" s="2">
        <v>0</v>
      </c>
      <c r="J394" s="2">
        <v>1</v>
      </c>
      <c r="K394">
        <f t="shared" si="42"/>
        <v>37.529978976036332</v>
      </c>
      <c r="L394">
        <f t="shared" si="43"/>
        <v>37.784398673725924</v>
      </c>
      <c r="M394">
        <f t="shared" si="44"/>
        <v>0.43673596150449095</v>
      </c>
      <c r="N394">
        <f t="shared" si="45"/>
        <v>0.56326403849550899</v>
      </c>
      <c r="O394">
        <f t="shared" si="46"/>
        <v>0.56326403849550899</v>
      </c>
      <c r="P394">
        <f t="shared" si="47"/>
        <v>-0.57400677588715832</v>
      </c>
    </row>
    <row r="395" spans="1:16" x14ac:dyDescent="0.3">
      <c r="A395" s="2">
        <f t="shared" si="48"/>
        <v>391</v>
      </c>
      <c r="B395" s="2">
        <v>25</v>
      </c>
      <c r="C395" s="2">
        <v>0.4</v>
      </c>
      <c r="D395" s="2">
        <v>25</v>
      </c>
      <c r="E395" s="2">
        <v>1</v>
      </c>
      <c r="F395" s="2">
        <v>45</v>
      </c>
      <c r="G395" s="2">
        <v>0.8</v>
      </c>
      <c r="H395" s="2">
        <v>20</v>
      </c>
      <c r="I395" s="2">
        <v>0</v>
      </c>
      <c r="J395" s="2">
        <v>1</v>
      </c>
      <c r="K395">
        <f t="shared" si="42"/>
        <v>33.227524315876146</v>
      </c>
      <c r="L395">
        <f t="shared" si="43"/>
        <v>46.199347853855429</v>
      </c>
      <c r="M395">
        <f t="shared" si="44"/>
        <v>2.3249178267106293E-6</v>
      </c>
      <c r="N395">
        <f t="shared" si="45"/>
        <v>0.9999976750821733</v>
      </c>
      <c r="O395">
        <f t="shared" si="46"/>
        <v>0.9999976750821733</v>
      </c>
      <c r="P395">
        <f t="shared" si="47"/>
        <v>-2.324920529327162E-6</v>
      </c>
    </row>
    <row r="396" spans="1:16" x14ac:dyDescent="0.3">
      <c r="A396" s="2">
        <f t="shared" si="48"/>
        <v>392</v>
      </c>
      <c r="B396" s="2">
        <v>15</v>
      </c>
      <c r="C396" s="2">
        <v>0.8</v>
      </c>
      <c r="D396" s="2">
        <v>15</v>
      </c>
      <c r="E396" s="2">
        <v>1</v>
      </c>
      <c r="F396" s="2">
        <v>90</v>
      </c>
      <c r="G396" s="2">
        <v>1</v>
      </c>
      <c r="H396" s="2">
        <v>10</v>
      </c>
      <c r="I396" s="2">
        <v>1</v>
      </c>
      <c r="J396" s="2">
        <v>0</v>
      </c>
      <c r="K396">
        <f t="shared" si="42"/>
        <v>16.698037801533648</v>
      </c>
      <c r="L396">
        <f t="shared" si="43"/>
        <v>18.785888036497418</v>
      </c>
      <c r="M396">
        <f t="shared" si="44"/>
        <v>0.11028333463125299</v>
      </c>
      <c r="N396">
        <f t="shared" si="45"/>
        <v>0.88971666536874705</v>
      </c>
      <c r="O396">
        <f t="shared" si="46"/>
        <v>0.11028333463125299</v>
      </c>
      <c r="P396">
        <f t="shared" si="47"/>
        <v>-2.2047024554232229</v>
      </c>
    </row>
    <row r="397" spans="1:16" x14ac:dyDescent="0.3">
      <c r="A397" s="2">
        <f t="shared" si="48"/>
        <v>393</v>
      </c>
      <c r="B397" s="2">
        <v>20</v>
      </c>
      <c r="C397" s="2">
        <v>0.6</v>
      </c>
      <c r="D397" s="2">
        <v>25</v>
      </c>
      <c r="E397" s="2">
        <v>1</v>
      </c>
      <c r="F397" s="2">
        <v>45</v>
      </c>
      <c r="G397" s="2">
        <v>0.9</v>
      </c>
      <c r="H397" s="2">
        <v>20</v>
      </c>
      <c r="I397" s="2">
        <v>0</v>
      </c>
      <c r="J397" s="2">
        <v>1</v>
      </c>
      <c r="K397">
        <f t="shared" si="42"/>
        <v>31.812100683288435</v>
      </c>
      <c r="L397">
        <f t="shared" si="43"/>
        <v>41.33395102409817</v>
      </c>
      <c r="M397">
        <f t="shared" si="44"/>
        <v>7.3228668158479524E-5</v>
      </c>
      <c r="N397">
        <f t="shared" si="45"/>
        <v>0.99992677133184149</v>
      </c>
      <c r="O397">
        <f t="shared" si="46"/>
        <v>0.99992677133184149</v>
      </c>
      <c r="P397">
        <f t="shared" si="47"/>
        <v>-7.3231349508331311E-5</v>
      </c>
    </row>
    <row r="398" spans="1:16" x14ac:dyDescent="0.3">
      <c r="A398" s="2">
        <f t="shared" si="48"/>
        <v>394</v>
      </c>
      <c r="B398" s="2">
        <v>15</v>
      </c>
      <c r="C398" s="2">
        <v>0.4</v>
      </c>
      <c r="D398" s="2">
        <v>25</v>
      </c>
      <c r="E398" s="2">
        <v>1</v>
      </c>
      <c r="F398" s="2">
        <v>60</v>
      </c>
      <c r="G398" s="2">
        <v>0.9</v>
      </c>
      <c r="H398" s="2">
        <v>20</v>
      </c>
      <c r="I398" s="2">
        <v>0</v>
      </c>
      <c r="J398" s="2">
        <v>1</v>
      </c>
      <c r="K398">
        <f t="shared" si="42"/>
        <v>33.718060114204398</v>
      </c>
      <c r="L398">
        <f t="shared" si="43"/>
        <v>43.567658895085373</v>
      </c>
      <c r="M398">
        <f t="shared" si="44"/>
        <v>5.2765576090992924E-5</v>
      </c>
      <c r="N398">
        <f t="shared" si="45"/>
        <v>0.99994723442390909</v>
      </c>
      <c r="O398">
        <f t="shared" si="46"/>
        <v>0.99994723442390909</v>
      </c>
      <c r="P398">
        <f t="shared" si="47"/>
        <v>-5.2766968242889493E-5</v>
      </c>
    </row>
    <row r="399" spans="1:16" x14ac:dyDescent="0.3">
      <c r="A399" s="2">
        <f t="shared" si="48"/>
        <v>395</v>
      </c>
      <c r="B399" s="2">
        <v>25</v>
      </c>
      <c r="C399" s="2">
        <v>0.8</v>
      </c>
      <c r="D399" s="2">
        <v>25</v>
      </c>
      <c r="E399" s="2">
        <v>1</v>
      </c>
      <c r="F399" s="2">
        <v>60</v>
      </c>
      <c r="G399" s="2">
        <v>0.9</v>
      </c>
      <c r="H399" s="2">
        <v>40</v>
      </c>
      <c r="I399" s="2">
        <v>1</v>
      </c>
      <c r="J399" s="2">
        <v>0</v>
      </c>
      <c r="K399">
        <f t="shared" si="42"/>
        <v>72.551095198034346</v>
      </c>
      <c r="L399">
        <f t="shared" si="43"/>
        <v>39.100243153110959</v>
      </c>
      <c r="M399">
        <f t="shared" si="44"/>
        <v>0.99999999999999711</v>
      </c>
      <c r="N399">
        <f t="shared" si="45"/>
        <v>2.9681069231825802E-15</v>
      </c>
      <c r="O399">
        <f t="shared" si="46"/>
        <v>0.99999999999999711</v>
      </c>
      <c r="P399">
        <f t="shared" si="47"/>
        <v>-2.8865798640254113E-15</v>
      </c>
    </row>
    <row r="400" spans="1:16" x14ac:dyDescent="0.3">
      <c r="A400" s="2">
        <f t="shared" si="48"/>
        <v>396</v>
      </c>
      <c r="B400" s="2">
        <v>15</v>
      </c>
      <c r="C400" s="2">
        <v>0.6</v>
      </c>
      <c r="D400" s="2">
        <v>15</v>
      </c>
      <c r="E400" s="2">
        <v>1</v>
      </c>
      <c r="F400" s="2">
        <v>60</v>
      </c>
      <c r="G400" s="2">
        <v>0.8</v>
      </c>
      <c r="H400" s="2">
        <v>20</v>
      </c>
      <c r="I400" s="2">
        <v>1</v>
      </c>
      <c r="J400" s="2">
        <v>0</v>
      </c>
      <c r="K400">
        <f t="shared" si="42"/>
        <v>35.133483746792109</v>
      </c>
      <c r="L400">
        <f t="shared" si="43"/>
        <v>22.335440386869656</v>
      </c>
      <c r="M400">
        <f t="shared" si="44"/>
        <v>0.99999723382795325</v>
      </c>
      <c r="N400">
        <f t="shared" si="45"/>
        <v>2.7661720467427559E-6</v>
      </c>
      <c r="O400">
        <f t="shared" si="46"/>
        <v>0.99999723382795325</v>
      </c>
      <c r="P400">
        <f t="shared" si="47"/>
        <v>-2.7661758726140642E-6</v>
      </c>
    </row>
    <row r="401" spans="1:16" x14ac:dyDescent="0.3">
      <c r="A401" s="2">
        <f t="shared" si="48"/>
        <v>397</v>
      </c>
      <c r="B401" s="2">
        <v>20</v>
      </c>
      <c r="C401" s="2">
        <v>0.6</v>
      </c>
      <c r="D401" s="2">
        <v>15</v>
      </c>
      <c r="E401" s="2">
        <v>1</v>
      </c>
      <c r="F401" s="2">
        <v>60</v>
      </c>
      <c r="G401" s="2">
        <v>1</v>
      </c>
      <c r="H401" s="2">
        <v>40</v>
      </c>
      <c r="I401" s="2">
        <v>1</v>
      </c>
      <c r="J401" s="2">
        <v>0</v>
      </c>
      <c r="K401">
        <f t="shared" si="42"/>
        <v>71.135671565446629</v>
      </c>
      <c r="L401">
        <f t="shared" si="43"/>
        <v>23.651284866254684</v>
      </c>
      <c r="M401">
        <f t="shared" si="44"/>
        <v>1</v>
      </c>
      <c r="N401">
        <f t="shared" si="45"/>
        <v>2.386672779831351E-21</v>
      </c>
      <c r="O401">
        <f t="shared" si="46"/>
        <v>1</v>
      </c>
      <c r="P401">
        <f t="shared" si="47"/>
        <v>0</v>
      </c>
    </row>
    <row r="402" spans="1:16" x14ac:dyDescent="0.3">
      <c r="A402" s="2">
        <f t="shared" si="48"/>
        <v>398</v>
      </c>
      <c r="B402" s="2">
        <v>25</v>
      </c>
      <c r="C402" s="2">
        <v>0.6</v>
      </c>
      <c r="D402" s="2">
        <v>15</v>
      </c>
      <c r="E402" s="2">
        <v>1</v>
      </c>
      <c r="F402" s="2">
        <v>45</v>
      </c>
      <c r="G402" s="2">
        <v>0.8</v>
      </c>
      <c r="H402" s="2">
        <v>40</v>
      </c>
      <c r="I402" s="2">
        <v>1</v>
      </c>
      <c r="J402" s="2">
        <v>0</v>
      </c>
      <c r="K402">
        <f t="shared" si="42"/>
        <v>72.060559399706079</v>
      </c>
      <c r="L402">
        <f t="shared" si="43"/>
        <v>24.967129345639712</v>
      </c>
      <c r="M402">
        <f t="shared" si="44"/>
        <v>1</v>
      </c>
      <c r="N402">
        <f t="shared" si="45"/>
        <v>3.5284437115229028E-21</v>
      </c>
      <c r="O402">
        <f t="shared" si="46"/>
        <v>1</v>
      </c>
      <c r="P402">
        <f t="shared" si="47"/>
        <v>0</v>
      </c>
    </row>
    <row r="403" spans="1:16" x14ac:dyDescent="0.3">
      <c r="A403" s="2">
        <f t="shared" si="48"/>
        <v>399</v>
      </c>
      <c r="B403" s="2">
        <v>20</v>
      </c>
      <c r="C403" s="2">
        <v>0.6</v>
      </c>
      <c r="D403" s="2">
        <v>20</v>
      </c>
      <c r="E403" s="2">
        <v>1</v>
      </c>
      <c r="F403" s="2">
        <v>60</v>
      </c>
      <c r="G403" s="2">
        <v>1</v>
      </c>
      <c r="H403" s="2">
        <v>40</v>
      </c>
      <c r="I403" s="2">
        <v>1</v>
      </c>
      <c r="J403" s="2">
        <v>0</v>
      </c>
      <c r="K403">
        <f t="shared" si="42"/>
        <v>71.135671565446629</v>
      </c>
      <c r="L403">
        <f t="shared" si="43"/>
        <v>32.49261794517642</v>
      </c>
      <c r="M403">
        <f t="shared" si="44"/>
        <v>1</v>
      </c>
      <c r="N403">
        <f t="shared" si="45"/>
        <v>1.6501941714056443E-17</v>
      </c>
      <c r="O403">
        <f t="shared" si="46"/>
        <v>1</v>
      </c>
      <c r="P403">
        <f t="shared" si="47"/>
        <v>0</v>
      </c>
    </row>
    <row r="404" spans="1:16" x14ac:dyDescent="0.3">
      <c r="A404" s="2">
        <f t="shared" si="48"/>
        <v>400</v>
      </c>
      <c r="B404" s="2">
        <v>20</v>
      </c>
      <c r="C404" s="2">
        <v>0.8</v>
      </c>
      <c r="D404" s="2">
        <v>25</v>
      </c>
      <c r="E404" s="2">
        <v>1</v>
      </c>
      <c r="F404" s="2">
        <v>45</v>
      </c>
      <c r="G404" s="2">
        <v>0.9</v>
      </c>
      <c r="H404" s="2">
        <v>10</v>
      </c>
      <c r="I404" s="2">
        <v>0</v>
      </c>
      <c r="J404" s="2">
        <v>1</v>
      </c>
      <c r="K404">
        <f t="shared" si="42"/>
        <v>12.395583141373463</v>
      </c>
      <c r="L404">
        <f t="shared" si="43"/>
        <v>37.784398673725924</v>
      </c>
      <c r="M404">
        <f t="shared" si="44"/>
        <v>9.4140719287676013E-12</v>
      </c>
      <c r="N404">
        <f t="shared" si="45"/>
        <v>0.99999999999058586</v>
      </c>
      <c r="O404">
        <f t="shared" si="46"/>
        <v>0.99999999999058586</v>
      </c>
      <c r="P404">
        <f t="shared" si="47"/>
        <v>-9.4141361373533272E-12</v>
      </c>
    </row>
    <row r="405" spans="1:16" x14ac:dyDescent="0.3">
      <c r="A405" s="2">
        <f t="shared" si="48"/>
        <v>401</v>
      </c>
      <c r="B405" s="2">
        <v>25</v>
      </c>
      <c r="C405" s="2">
        <v>0.8</v>
      </c>
      <c r="D405" s="2">
        <v>20</v>
      </c>
      <c r="E405" s="2">
        <v>1</v>
      </c>
      <c r="F405" s="2">
        <v>45</v>
      </c>
      <c r="G405" s="2">
        <v>0.9</v>
      </c>
      <c r="H405" s="2">
        <v>20</v>
      </c>
      <c r="I405" s="2">
        <v>0</v>
      </c>
      <c r="J405" s="2">
        <v>1</v>
      </c>
      <c r="K405">
        <f t="shared" si="42"/>
        <v>31.812100683288435</v>
      </c>
      <c r="L405">
        <f t="shared" si="43"/>
        <v>30.258910074189213</v>
      </c>
      <c r="M405">
        <f t="shared" si="44"/>
        <v>0.82537407729400913</v>
      </c>
      <c r="N405">
        <f t="shared" si="45"/>
        <v>0.17462592270599089</v>
      </c>
      <c r="O405">
        <f t="shared" si="46"/>
        <v>0.17462592270599089</v>
      </c>
      <c r="P405">
        <f t="shared" si="47"/>
        <v>-1.7451091774906051</v>
      </c>
    </row>
    <row r="406" spans="1:16" x14ac:dyDescent="0.3">
      <c r="A406" s="2">
        <f t="shared" si="48"/>
        <v>402</v>
      </c>
      <c r="B406" s="2">
        <v>20</v>
      </c>
      <c r="C406" s="2">
        <v>0.4</v>
      </c>
      <c r="D406" s="2">
        <v>15</v>
      </c>
      <c r="E406" s="2">
        <v>1</v>
      </c>
      <c r="F406" s="2">
        <v>45</v>
      </c>
      <c r="G406" s="2">
        <v>1</v>
      </c>
      <c r="H406" s="2">
        <v>20</v>
      </c>
      <c r="I406" s="2">
        <v>1</v>
      </c>
      <c r="J406" s="2">
        <v>0</v>
      </c>
      <c r="K406">
        <f t="shared" si="42"/>
        <v>30.396677050700724</v>
      </c>
      <c r="L406">
        <f t="shared" si="43"/>
        <v>27.200837216626923</v>
      </c>
      <c r="M406">
        <f t="shared" si="44"/>
        <v>0.96067742231261988</v>
      </c>
      <c r="N406">
        <f t="shared" si="45"/>
        <v>3.9322577687380122E-2</v>
      </c>
      <c r="O406">
        <f t="shared" si="46"/>
        <v>0.96067742231261988</v>
      </c>
      <c r="P406">
        <f t="shared" si="47"/>
        <v>-4.0116595130602284E-2</v>
      </c>
    </row>
    <row r="407" spans="1:16" x14ac:dyDescent="0.3">
      <c r="A407" s="2">
        <f t="shared" si="48"/>
        <v>403</v>
      </c>
      <c r="B407" s="2">
        <v>15</v>
      </c>
      <c r="C407" s="2">
        <v>0.4</v>
      </c>
      <c r="D407" s="2">
        <v>25</v>
      </c>
      <c r="E407" s="2">
        <v>1</v>
      </c>
      <c r="F407" s="2">
        <v>60</v>
      </c>
      <c r="G407" s="2">
        <v>1</v>
      </c>
      <c r="H407" s="2">
        <v>20</v>
      </c>
      <c r="I407" s="2">
        <v>0</v>
      </c>
      <c r="J407" s="2">
        <v>1</v>
      </c>
      <c r="K407">
        <f t="shared" si="42"/>
        <v>32.302636481616688</v>
      </c>
      <c r="L407">
        <f t="shared" si="43"/>
        <v>43.567658895085373</v>
      </c>
      <c r="M407">
        <f t="shared" si="44"/>
        <v>1.2813192845983381E-5</v>
      </c>
      <c r="N407">
        <f t="shared" si="45"/>
        <v>0.99998718680715404</v>
      </c>
      <c r="O407">
        <f t="shared" si="46"/>
        <v>0.99998718680715404</v>
      </c>
      <c r="P407">
        <f t="shared" si="47"/>
        <v>-1.2813274935618504E-5</v>
      </c>
    </row>
    <row r="408" spans="1:16" x14ac:dyDescent="0.3">
      <c r="A408" s="2">
        <f t="shared" si="48"/>
        <v>404</v>
      </c>
      <c r="B408" s="2">
        <v>20</v>
      </c>
      <c r="C408" s="2">
        <v>0.8</v>
      </c>
      <c r="D408" s="2">
        <v>15</v>
      </c>
      <c r="E408" s="2">
        <v>1</v>
      </c>
      <c r="F408" s="2">
        <v>90</v>
      </c>
      <c r="G408" s="2">
        <v>1</v>
      </c>
      <c r="H408" s="2">
        <v>20</v>
      </c>
      <c r="I408" s="2">
        <v>1</v>
      </c>
      <c r="J408" s="2">
        <v>0</v>
      </c>
      <c r="K408">
        <f t="shared" si="42"/>
        <v>36.114555343448615</v>
      </c>
      <c r="L408">
        <f t="shared" si="43"/>
        <v>20.101732515882446</v>
      </c>
      <c r="M408">
        <f t="shared" si="44"/>
        <v>0.99999988889864444</v>
      </c>
      <c r="N408">
        <f t="shared" si="45"/>
        <v>1.1110135560972957E-7</v>
      </c>
      <c r="O408">
        <f t="shared" si="46"/>
        <v>0.99999988889864444</v>
      </c>
      <c r="P408">
        <f t="shared" si="47"/>
        <v>-1.1110136173167324E-7</v>
      </c>
    </row>
    <row r="409" spans="1:16" x14ac:dyDescent="0.3">
      <c r="A409" s="2">
        <f t="shared" si="48"/>
        <v>405</v>
      </c>
      <c r="B409" s="2">
        <v>20</v>
      </c>
      <c r="C409" s="2">
        <v>0.6</v>
      </c>
      <c r="D409" s="2">
        <v>25</v>
      </c>
      <c r="E409" s="2">
        <v>1</v>
      </c>
      <c r="F409" s="2">
        <v>90</v>
      </c>
      <c r="G409" s="2">
        <v>0.9</v>
      </c>
      <c r="H409" s="2">
        <v>20</v>
      </c>
      <c r="I409" s="2">
        <v>0</v>
      </c>
      <c r="J409" s="2">
        <v>1</v>
      </c>
      <c r="K409">
        <f t="shared" si="42"/>
        <v>37.529978976036332</v>
      </c>
      <c r="L409">
        <f t="shared" si="43"/>
        <v>41.33395102409817</v>
      </c>
      <c r="M409">
        <f t="shared" si="44"/>
        <v>2.1796420505188849E-2</v>
      </c>
      <c r="N409">
        <f t="shared" si="45"/>
        <v>0.97820357949481107</v>
      </c>
      <c r="O409">
        <f t="shared" si="46"/>
        <v>0.97820357949481107</v>
      </c>
      <c r="P409">
        <f t="shared" si="47"/>
        <v>-2.203747161674742E-2</v>
      </c>
    </row>
    <row r="410" spans="1:16" x14ac:dyDescent="0.3">
      <c r="A410" s="2">
        <f t="shared" si="48"/>
        <v>406</v>
      </c>
      <c r="B410" s="2">
        <v>15</v>
      </c>
      <c r="C410" s="2">
        <v>0.4</v>
      </c>
      <c r="D410" s="2">
        <v>25</v>
      </c>
      <c r="E410" s="2">
        <v>1</v>
      </c>
      <c r="F410" s="2">
        <v>90</v>
      </c>
      <c r="G410" s="2">
        <v>0.8</v>
      </c>
      <c r="H410" s="2">
        <v>10</v>
      </c>
      <c r="I410" s="2">
        <v>0</v>
      </c>
      <c r="J410" s="2">
        <v>1</v>
      </c>
      <c r="K410">
        <f t="shared" si="42"/>
        <v>19.528885066709069</v>
      </c>
      <c r="L410">
        <f t="shared" si="43"/>
        <v>43.567658895085373</v>
      </c>
      <c r="M410">
        <f t="shared" si="44"/>
        <v>3.6315595878033628E-11</v>
      </c>
      <c r="N410">
        <f t="shared" si="45"/>
        <v>0.99999999996368449</v>
      </c>
      <c r="O410">
        <f t="shared" si="46"/>
        <v>0.99999999996368449</v>
      </c>
      <c r="P410">
        <f t="shared" si="47"/>
        <v>-3.6315506158450738E-11</v>
      </c>
    </row>
    <row r="411" spans="1:16" x14ac:dyDescent="0.3">
      <c r="A411" s="2">
        <f t="shared" si="48"/>
        <v>407</v>
      </c>
      <c r="B411" s="2">
        <v>20</v>
      </c>
      <c r="C411" s="2">
        <v>0.4</v>
      </c>
      <c r="D411" s="2">
        <v>25</v>
      </c>
      <c r="E411" s="2">
        <v>1</v>
      </c>
      <c r="F411" s="2">
        <v>60</v>
      </c>
      <c r="G411" s="2">
        <v>0.9</v>
      </c>
      <c r="H411" s="2">
        <v>10</v>
      </c>
      <c r="I411" s="2">
        <v>0</v>
      </c>
      <c r="J411" s="2">
        <v>1</v>
      </c>
      <c r="K411">
        <f t="shared" si="42"/>
        <v>14.301542572289428</v>
      </c>
      <c r="L411">
        <f t="shared" si="43"/>
        <v>44.883503374470401</v>
      </c>
      <c r="M411">
        <f t="shared" si="44"/>
        <v>5.2290546147305997E-14</v>
      </c>
      <c r="N411">
        <f t="shared" si="45"/>
        <v>0.99999999999994771</v>
      </c>
      <c r="O411">
        <f t="shared" si="46"/>
        <v>0.99999999999994771</v>
      </c>
      <c r="P411">
        <f t="shared" si="47"/>
        <v>-5.2291504459846243E-14</v>
      </c>
    </row>
    <row r="412" spans="1:16" x14ac:dyDescent="0.3">
      <c r="A412" s="2">
        <f t="shared" si="48"/>
        <v>408</v>
      </c>
      <c r="B412" s="2">
        <v>25</v>
      </c>
      <c r="C412" s="2">
        <v>0.8</v>
      </c>
      <c r="D412" s="2">
        <v>20</v>
      </c>
      <c r="E412" s="2">
        <v>1</v>
      </c>
      <c r="F412" s="2">
        <v>90</v>
      </c>
      <c r="G412" s="2">
        <v>1</v>
      </c>
      <c r="H412" s="2">
        <v>10</v>
      </c>
      <c r="I412" s="2">
        <v>0</v>
      </c>
      <c r="J412" s="2">
        <v>1</v>
      </c>
      <c r="K412">
        <f t="shared" si="42"/>
        <v>16.698037801533648</v>
      </c>
      <c r="L412">
        <f t="shared" si="43"/>
        <v>30.258910074189213</v>
      </c>
      <c r="M412">
        <f t="shared" si="44"/>
        <v>1.2899932622715292E-6</v>
      </c>
      <c r="N412">
        <f t="shared" si="45"/>
        <v>0.99999871000673768</v>
      </c>
      <c r="O412">
        <f t="shared" si="46"/>
        <v>0.99999871000673768</v>
      </c>
      <c r="P412">
        <f t="shared" si="47"/>
        <v>-1.289994094363178E-6</v>
      </c>
    </row>
    <row r="413" spans="1:16" x14ac:dyDescent="0.3">
      <c r="A413" s="2">
        <f t="shared" si="48"/>
        <v>409</v>
      </c>
      <c r="B413" s="2">
        <v>20</v>
      </c>
      <c r="C413" s="2">
        <v>0.4</v>
      </c>
      <c r="D413" s="2">
        <v>25</v>
      </c>
      <c r="E413" s="2">
        <v>1</v>
      </c>
      <c r="F413" s="2">
        <v>90</v>
      </c>
      <c r="G413" s="2">
        <v>0.9</v>
      </c>
      <c r="H413" s="2">
        <v>40</v>
      </c>
      <c r="I413" s="2">
        <v>1</v>
      </c>
      <c r="J413" s="2">
        <v>0</v>
      </c>
      <c r="K413">
        <f t="shared" si="42"/>
        <v>76.363014059866273</v>
      </c>
      <c r="L413">
        <f t="shared" si="43"/>
        <v>44.883503374470401</v>
      </c>
      <c r="M413">
        <f t="shared" si="44"/>
        <v>0.99999999999997868</v>
      </c>
      <c r="N413">
        <f t="shared" si="45"/>
        <v>2.1311902288045985E-14</v>
      </c>
      <c r="O413">
        <f t="shared" si="46"/>
        <v>0.99999999999997868</v>
      </c>
      <c r="P413">
        <f t="shared" si="47"/>
        <v>-2.1316282072803233E-14</v>
      </c>
    </row>
    <row r="414" spans="1:16" x14ac:dyDescent="0.3">
      <c r="A414" s="2">
        <f t="shared" si="48"/>
        <v>410</v>
      </c>
      <c r="B414" s="2">
        <v>25</v>
      </c>
      <c r="C414" s="2">
        <v>0.6</v>
      </c>
      <c r="D414" s="2">
        <v>25</v>
      </c>
      <c r="E414" s="2">
        <v>1</v>
      </c>
      <c r="F414" s="2">
        <v>60</v>
      </c>
      <c r="G414" s="2">
        <v>1</v>
      </c>
      <c r="H414" s="2">
        <v>40</v>
      </c>
      <c r="I414" s="2">
        <v>1</v>
      </c>
      <c r="J414" s="2">
        <v>0</v>
      </c>
      <c r="K414">
        <f t="shared" si="42"/>
        <v>71.135671565446629</v>
      </c>
      <c r="L414">
        <f t="shared" si="43"/>
        <v>42.649795503483197</v>
      </c>
      <c r="M414">
        <f t="shared" si="44"/>
        <v>0.99999999999957467</v>
      </c>
      <c r="N414">
        <f t="shared" si="45"/>
        <v>4.2534488456959179E-13</v>
      </c>
      <c r="O414">
        <f t="shared" si="46"/>
        <v>0.99999999999957467</v>
      </c>
      <c r="P414">
        <f t="shared" si="47"/>
        <v>-4.2532644073398794E-13</v>
      </c>
    </row>
    <row r="415" spans="1:16" x14ac:dyDescent="0.3">
      <c r="A415" s="2">
        <f t="shared" si="48"/>
        <v>411</v>
      </c>
      <c r="B415" s="2">
        <v>20</v>
      </c>
      <c r="C415" s="2">
        <v>0.6</v>
      </c>
      <c r="D415" s="2">
        <v>25</v>
      </c>
      <c r="E415" s="2">
        <v>1</v>
      </c>
      <c r="F415" s="2">
        <v>90</v>
      </c>
      <c r="G415" s="2">
        <v>0.9</v>
      </c>
      <c r="H415" s="2">
        <v>40</v>
      </c>
      <c r="I415" s="2">
        <v>1</v>
      </c>
      <c r="J415" s="2">
        <v>0</v>
      </c>
      <c r="K415">
        <f t="shared" si="42"/>
        <v>76.363014059866273</v>
      </c>
      <c r="L415">
        <f t="shared" si="43"/>
        <v>41.33395102409817</v>
      </c>
      <c r="M415">
        <f t="shared" si="44"/>
        <v>0.99999999999999944</v>
      </c>
      <c r="N415">
        <f t="shared" si="45"/>
        <v>6.1245081559471028E-16</v>
      </c>
      <c r="O415">
        <f t="shared" si="46"/>
        <v>0.99999999999999944</v>
      </c>
      <c r="P415">
        <f t="shared" si="47"/>
        <v>-5.5511151231257847E-16</v>
      </c>
    </row>
    <row r="416" spans="1:16" x14ac:dyDescent="0.3">
      <c r="A416" s="2">
        <f t="shared" si="48"/>
        <v>412</v>
      </c>
      <c r="B416" s="2">
        <v>20</v>
      </c>
      <c r="C416" s="2">
        <v>0.8</v>
      </c>
      <c r="D416" s="2">
        <v>20</v>
      </c>
      <c r="E416" s="2">
        <v>1</v>
      </c>
      <c r="F416" s="2">
        <v>90</v>
      </c>
      <c r="G416" s="2">
        <v>1</v>
      </c>
      <c r="H416" s="2">
        <v>20</v>
      </c>
      <c r="I416" s="2">
        <v>1</v>
      </c>
      <c r="J416" s="2">
        <v>0</v>
      </c>
      <c r="K416">
        <f t="shared" si="42"/>
        <v>36.114555343448615</v>
      </c>
      <c r="L416">
        <f t="shared" si="43"/>
        <v>28.943065594804185</v>
      </c>
      <c r="M416">
        <f t="shared" si="44"/>
        <v>0.99923241215669456</v>
      </c>
      <c r="N416">
        <f t="shared" si="45"/>
        <v>7.6758784330542118E-4</v>
      </c>
      <c r="O416">
        <f t="shared" si="46"/>
        <v>0.99923241215669456</v>
      </c>
      <c r="P416">
        <f t="shared" si="47"/>
        <v>-7.6788258969284903E-4</v>
      </c>
    </row>
    <row r="417" spans="1:16" x14ac:dyDescent="0.3">
      <c r="A417" s="2">
        <f t="shared" si="48"/>
        <v>413</v>
      </c>
      <c r="B417" s="2">
        <v>20</v>
      </c>
      <c r="C417" s="2">
        <v>0.8</v>
      </c>
      <c r="D417" s="2">
        <v>20</v>
      </c>
      <c r="E417" s="2">
        <v>1</v>
      </c>
      <c r="F417" s="2">
        <v>90</v>
      </c>
      <c r="G417" s="2">
        <v>0.8</v>
      </c>
      <c r="H417" s="2">
        <v>10</v>
      </c>
      <c r="I417" s="2">
        <v>0</v>
      </c>
      <c r="J417" s="2">
        <v>1</v>
      </c>
      <c r="K417">
        <f t="shared" si="42"/>
        <v>19.528885066709069</v>
      </c>
      <c r="L417">
        <f t="shared" si="43"/>
        <v>28.943065594804185</v>
      </c>
      <c r="M417">
        <f t="shared" si="44"/>
        <v>8.1552621455065042E-5</v>
      </c>
      <c r="N417">
        <f t="shared" si="45"/>
        <v>0.99991844737854496</v>
      </c>
      <c r="O417">
        <f t="shared" si="46"/>
        <v>0.99991844737854496</v>
      </c>
      <c r="P417">
        <f t="shared" si="47"/>
        <v>-8.1555947050880522E-5</v>
      </c>
    </row>
    <row r="418" spans="1:16" x14ac:dyDescent="0.3">
      <c r="A418" s="2">
        <f t="shared" si="48"/>
        <v>414</v>
      </c>
      <c r="B418" s="2">
        <v>20</v>
      </c>
      <c r="C418" s="2">
        <v>0.4</v>
      </c>
      <c r="D418" s="2">
        <v>20</v>
      </c>
      <c r="E418" s="2">
        <v>1</v>
      </c>
      <c r="F418" s="2">
        <v>90</v>
      </c>
      <c r="G418" s="2">
        <v>0.9</v>
      </c>
      <c r="H418" s="2">
        <v>20</v>
      </c>
      <c r="I418" s="2">
        <v>0</v>
      </c>
      <c r="J418" s="2">
        <v>1</v>
      </c>
      <c r="K418">
        <f t="shared" si="42"/>
        <v>37.529978976036332</v>
      </c>
      <c r="L418">
        <f t="shared" si="43"/>
        <v>36.042170295548658</v>
      </c>
      <c r="M418">
        <f t="shared" si="44"/>
        <v>0.81574913968273377</v>
      </c>
      <c r="N418">
        <f t="shared" si="45"/>
        <v>0.18425086031726629</v>
      </c>
      <c r="O418">
        <f t="shared" si="46"/>
        <v>0.18425086031726629</v>
      </c>
      <c r="P418">
        <f t="shared" si="47"/>
        <v>-1.6914570786304237</v>
      </c>
    </row>
    <row r="419" spans="1:16" x14ac:dyDescent="0.3">
      <c r="A419" s="2">
        <f t="shared" si="48"/>
        <v>415</v>
      </c>
      <c r="B419" s="2">
        <v>20</v>
      </c>
      <c r="C419" s="2">
        <v>0.8</v>
      </c>
      <c r="D419" s="2">
        <v>25</v>
      </c>
      <c r="E419" s="2">
        <v>1</v>
      </c>
      <c r="F419" s="2">
        <v>90</v>
      </c>
      <c r="G419" s="2">
        <v>1</v>
      </c>
      <c r="H419" s="2">
        <v>10</v>
      </c>
      <c r="I419" s="2">
        <v>0</v>
      </c>
      <c r="J419" s="2">
        <v>1</v>
      </c>
      <c r="K419">
        <f t="shared" si="42"/>
        <v>16.698037801533648</v>
      </c>
      <c r="L419">
        <f t="shared" si="43"/>
        <v>37.784398673725924</v>
      </c>
      <c r="M419">
        <f t="shared" si="44"/>
        <v>6.955203309286821E-10</v>
      </c>
      <c r="N419">
        <f t="shared" si="45"/>
        <v>0.99999999930447958</v>
      </c>
      <c r="O419">
        <f t="shared" si="46"/>
        <v>0.99999999930447958</v>
      </c>
      <c r="P419">
        <f t="shared" si="47"/>
        <v>-6.9552041927807399E-10</v>
      </c>
    </row>
    <row r="420" spans="1:16" x14ac:dyDescent="0.3">
      <c r="A420" s="2">
        <f t="shared" si="48"/>
        <v>416</v>
      </c>
      <c r="B420" s="2">
        <v>15</v>
      </c>
      <c r="C420" s="2">
        <v>0.6</v>
      </c>
      <c r="D420" s="2">
        <v>25</v>
      </c>
      <c r="E420" s="2">
        <v>1</v>
      </c>
      <c r="F420" s="2">
        <v>60</v>
      </c>
      <c r="G420" s="2">
        <v>0.9</v>
      </c>
      <c r="H420" s="2">
        <v>10</v>
      </c>
      <c r="I420" s="2">
        <v>0</v>
      </c>
      <c r="J420" s="2">
        <v>1</v>
      </c>
      <c r="K420">
        <f t="shared" si="42"/>
        <v>14.301542572289428</v>
      </c>
      <c r="L420">
        <f t="shared" si="43"/>
        <v>40.018106544713142</v>
      </c>
      <c r="M420">
        <f t="shared" si="44"/>
        <v>6.7832554629963929E-12</v>
      </c>
      <c r="N420">
        <f t="shared" si="45"/>
        <v>0.99999999999321676</v>
      </c>
      <c r="O420">
        <f t="shared" si="46"/>
        <v>0.99999999999321676</v>
      </c>
      <c r="P420">
        <f t="shared" si="47"/>
        <v>-6.7832406358777874E-12</v>
      </c>
    </row>
    <row r="421" spans="1:16" x14ac:dyDescent="0.3">
      <c r="A421" s="2">
        <f t="shared" si="48"/>
        <v>417</v>
      </c>
      <c r="B421" s="2">
        <v>20</v>
      </c>
      <c r="C421" s="2">
        <v>0.4</v>
      </c>
      <c r="D421" s="2">
        <v>20</v>
      </c>
      <c r="E421" s="2">
        <v>1</v>
      </c>
      <c r="F421" s="2">
        <v>45</v>
      </c>
      <c r="G421" s="2">
        <v>0.9</v>
      </c>
      <c r="H421" s="2">
        <v>40</v>
      </c>
      <c r="I421" s="2">
        <v>1</v>
      </c>
      <c r="J421" s="2">
        <v>0</v>
      </c>
      <c r="K421">
        <f t="shared" si="42"/>
        <v>70.645135767118376</v>
      </c>
      <c r="L421">
        <f t="shared" si="43"/>
        <v>36.042170295548658</v>
      </c>
      <c r="M421">
        <f t="shared" si="44"/>
        <v>0.99999999999999911</v>
      </c>
      <c r="N421">
        <f t="shared" si="45"/>
        <v>9.3782766144503632E-16</v>
      </c>
      <c r="O421">
        <f t="shared" si="46"/>
        <v>0.99999999999999911</v>
      </c>
      <c r="P421">
        <f t="shared" si="47"/>
        <v>-8.8817841970012563E-16</v>
      </c>
    </row>
    <row r="422" spans="1:16" x14ac:dyDescent="0.3">
      <c r="A422" s="2">
        <f t="shared" si="48"/>
        <v>418</v>
      </c>
      <c r="B422" s="2">
        <v>15</v>
      </c>
      <c r="C422" s="2">
        <v>0.8</v>
      </c>
      <c r="D422" s="2">
        <v>15</v>
      </c>
      <c r="E422" s="2">
        <v>1</v>
      </c>
      <c r="F422" s="2">
        <v>60</v>
      </c>
      <c r="G422" s="2">
        <v>0.9</v>
      </c>
      <c r="H422" s="2">
        <v>20</v>
      </c>
      <c r="I422" s="2">
        <v>1</v>
      </c>
      <c r="J422" s="2">
        <v>0</v>
      </c>
      <c r="K422">
        <f t="shared" si="42"/>
        <v>33.718060114204398</v>
      </c>
      <c r="L422">
        <f t="shared" si="43"/>
        <v>18.785888036497418</v>
      </c>
      <c r="M422">
        <f t="shared" si="44"/>
        <v>0.99999967262921363</v>
      </c>
      <c r="N422">
        <f t="shared" si="45"/>
        <v>3.2737078639682079E-7</v>
      </c>
      <c r="O422">
        <f t="shared" si="46"/>
        <v>0.99999967262921363</v>
      </c>
      <c r="P422">
        <f t="shared" si="47"/>
        <v>-3.2737083995406935E-7</v>
      </c>
    </row>
    <row r="423" spans="1:16" x14ac:dyDescent="0.3">
      <c r="A423" s="2">
        <f t="shared" si="48"/>
        <v>419</v>
      </c>
      <c r="B423" s="2">
        <v>15</v>
      </c>
      <c r="C423" s="2">
        <v>0.6</v>
      </c>
      <c r="D423" s="2">
        <v>15</v>
      </c>
      <c r="E423" s="2">
        <v>1</v>
      </c>
      <c r="F423" s="2">
        <v>45</v>
      </c>
      <c r="G423" s="2">
        <v>0.9</v>
      </c>
      <c r="H423" s="2">
        <v>10</v>
      </c>
      <c r="I423" s="2">
        <v>0</v>
      </c>
      <c r="J423" s="2">
        <v>1</v>
      </c>
      <c r="K423">
        <f t="shared" si="42"/>
        <v>12.395583141373463</v>
      </c>
      <c r="L423">
        <f t="shared" si="43"/>
        <v>22.335440386869656</v>
      </c>
      <c r="M423">
        <f t="shared" si="44"/>
        <v>4.821186243773149E-5</v>
      </c>
      <c r="N423">
        <f t="shared" si="45"/>
        <v>0.99995178813756225</v>
      </c>
      <c r="O423">
        <f t="shared" si="46"/>
        <v>0.99995178813756225</v>
      </c>
      <c r="P423">
        <f t="shared" si="47"/>
        <v>-4.821302466694805E-5</v>
      </c>
    </row>
    <row r="424" spans="1:16" x14ac:dyDescent="0.3">
      <c r="A424" s="2">
        <f t="shared" si="48"/>
        <v>420</v>
      </c>
      <c r="B424" s="2">
        <v>15</v>
      </c>
      <c r="C424" s="2">
        <v>0.4</v>
      </c>
      <c r="D424" s="2">
        <v>15</v>
      </c>
      <c r="E424" s="2">
        <v>1</v>
      </c>
      <c r="F424" s="2">
        <v>90</v>
      </c>
      <c r="G424" s="2">
        <v>0.8</v>
      </c>
      <c r="H424" s="2">
        <v>40</v>
      </c>
      <c r="I424" s="2">
        <v>1</v>
      </c>
      <c r="J424" s="2">
        <v>0</v>
      </c>
      <c r="K424">
        <f t="shared" si="42"/>
        <v>77.778437692453977</v>
      </c>
      <c r="L424">
        <f t="shared" si="43"/>
        <v>25.884992737241895</v>
      </c>
      <c r="M424">
        <f t="shared" si="44"/>
        <v>1</v>
      </c>
      <c r="N424">
        <f t="shared" si="45"/>
        <v>2.903776652332482E-23</v>
      </c>
      <c r="O424">
        <f t="shared" si="46"/>
        <v>1</v>
      </c>
      <c r="P424">
        <f t="shared" si="47"/>
        <v>0</v>
      </c>
    </row>
    <row r="425" spans="1:16" x14ac:dyDescent="0.3">
      <c r="A425" s="2">
        <f t="shared" si="48"/>
        <v>421</v>
      </c>
      <c r="B425" s="2">
        <v>20</v>
      </c>
      <c r="C425" s="2">
        <v>0.8</v>
      </c>
      <c r="D425" s="2">
        <v>20</v>
      </c>
      <c r="E425" s="2">
        <v>1</v>
      </c>
      <c r="F425" s="2">
        <v>60</v>
      </c>
      <c r="G425" s="2">
        <v>1</v>
      </c>
      <c r="H425" s="2">
        <v>10</v>
      </c>
      <c r="I425" s="2">
        <v>0</v>
      </c>
      <c r="J425" s="2">
        <v>1</v>
      </c>
      <c r="K425">
        <f t="shared" si="42"/>
        <v>12.886118939701717</v>
      </c>
      <c r="L425">
        <f t="shared" si="43"/>
        <v>28.943065594804185</v>
      </c>
      <c r="M425">
        <f t="shared" si="44"/>
        <v>1.0630571805101684E-7</v>
      </c>
      <c r="N425">
        <f t="shared" si="45"/>
        <v>0.99999989369428188</v>
      </c>
      <c r="O425">
        <f t="shared" si="46"/>
        <v>0.99999989369428188</v>
      </c>
      <c r="P425">
        <f t="shared" si="47"/>
        <v>-1.0630572376765883E-7</v>
      </c>
    </row>
    <row r="426" spans="1:16" x14ac:dyDescent="0.3">
      <c r="A426" s="2">
        <f t="shared" si="48"/>
        <v>422</v>
      </c>
      <c r="B426" s="2">
        <v>15</v>
      </c>
      <c r="C426" s="2">
        <v>0.8</v>
      </c>
      <c r="D426" s="2">
        <v>20</v>
      </c>
      <c r="E426" s="2">
        <v>1</v>
      </c>
      <c r="F426" s="2">
        <v>90</v>
      </c>
      <c r="G426" s="2">
        <v>1</v>
      </c>
      <c r="H426" s="2">
        <v>10</v>
      </c>
      <c r="I426" s="2">
        <v>0</v>
      </c>
      <c r="J426" s="2">
        <v>1</v>
      </c>
      <c r="K426">
        <f t="shared" si="42"/>
        <v>16.698037801533648</v>
      </c>
      <c r="L426">
        <f t="shared" si="43"/>
        <v>27.627221115419157</v>
      </c>
      <c r="M426">
        <f t="shared" si="44"/>
        <v>1.7927024391868906E-5</v>
      </c>
      <c r="N426">
        <f t="shared" si="45"/>
        <v>0.99998207297560815</v>
      </c>
      <c r="O426">
        <f t="shared" si="46"/>
        <v>0.99998207297560815</v>
      </c>
      <c r="P426">
        <f t="shared" si="47"/>
        <v>-1.7927185082872815E-5</v>
      </c>
    </row>
    <row r="427" spans="1:16" x14ac:dyDescent="0.3">
      <c r="A427" s="2">
        <f t="shared" si="48"/>
        <v>423</v>
      </c>
      <c r="B427" s="2">
        <v>25</v>
      </c>
      <c r="C427" s="2">
        <v>0.8</v>
      </c>
      <c r="D427" s="2">
        <v>20</v>
      </c>
      <c r="E427" s="2">
        <v>1</v>
      </c>
      <c r="F427" s="2">
        <v>45</v>
      </c>
      <c r="G427" s="2">
        <v>1</v>
      </c>
      <c r="H427" s="2">
        <v>40</v>
      </c>
      <c r="I427" s="2">
        <v>1</v>
      </c>
      <c r="J427" s="2">
        <v>0</v>
      </c>
      <c r="K427">
        <f t="shared" si="42"/>
        <v>69.229712134530658</v>
      </c>
      <c r="L427">
        <f t="shared" si="43"/>
        <v>30.258910074189213</v>
      </c>
      <c r="M427">
        <f t="shared" si="44"/>
        <v>1</v>
      </c>
      <c r="N427">
        <f t="shared" si="45"/>
        <v>1.1890379330921727E-17</v>
      </c>
      <c r="O427">
        <f t="shared" si="46"/>
        <v>1</v>
      </c>
      <c r="P427">
        <f t="shared" si="47"/>
        <v>0</v>
      </c>
    </row>
    <row r="428" spans="1:16" x14ac:dyDescent="0.3">
      <c r="A428" s="2">
        <f t="shared" si="48"/>
        <v>424</v>
      </c>
      <c r="B428" s="2">
        <v>20</v>
      </c>
      <c r="C428" s="2">
        <v>0.8</v>
      </c>
      <c r="D428" s="2">
        <v>25</v>
      </c>
      <c r="E428" s="2">
        <v>1</v>
      </c>
      <c r="F428" s="2">
        <v>45</v>
      </c>
      <c r="G428" s="2">
        <v>0.8</v>
      </c>
      <c r="H428" s="2">
        <v>20</v>
      </c>
      <c r="I428" s="2">
        <v>0</v>
      </c>
      <c r="J428" s="2">
        <v>1</v>
      </c>
      <c r="K428">
        <f t="shared" si="42"/>
        <v>33.227524315876146</v>
      </c>
      <c r="L428">
        <f t="shared" si="43"/>
        <v>37.784398673725924</v>
      </c>
      <c r="M428">
        <f t="shared" si="44"/>
        <v>1.0385813606068356E-2</v>
      </c>
      <c r="N428">
        <f t="shared" si="45"/>
        <v>0.98961418639393162</v>
      </c>
      <c r="O428">
        <f t="shared" si="46"/>
        <v>0.98961418639393162</v>
      </c>
      <c r="P428">
        <f t="shared" si="47"/>
        <v>-1.0440122523656621E-2</v>
      </c>
    </row>
    <row r="429" spans="1:16" x14ac:dyDescent="0.3">
      <c r="A429" s="2">
        <f t="shared" si="48"/>
        <v>425</v>
      </c>
      <c r="B429" s="2">
        <v>20</v>
      </c>
      <c r="C429" s="2">
        <v>0.6</v>
      </c>
      <c r="D429" s="2">
        <v>15</v>
      </c>
      <c r="E429" s="2">
        <v>1</v>
      </c>
      <c r="F429" s="2">
        <v>90</v>
      </c>
      <c r="G429" s="2">
        <v>0.9</v>
      </c>
      <c r="H429" s="2">
        <v>40</v>
      </c>
      <c r="I429" s="2">
        <v>1</v>
      </c>
      <c r="J429" s="2">
        <v>0</v>
      </c>
      <c r="K429">
        <f t="shared" si="42"/>
        <v>76.363014059866273</v>
      </c>
      <c r="L429">
        <f t="shared" si="43"/>
        <v>23.651284866254684</v>
      </c>
      <c r="M429">
        <f t="shared" si="44"/>
        <v>1</v>
      </c>
      <c r="N429">
        <f t="shared" si="45"/>
        <v>1.2811113523529566E-23</v>
      </c>
      <c r="O429">
        <f t="shared" si="46"/>
        <v>1</v>
      </c>
      <c r="P429">
        <f t="shared" si="47"/>
        <v>0</v>
      </c>
    </row>
    <row r="430" spans="1:16" x14ac:dyDescent="0.3">
      <c r="A430" s="2">
        <f t="shared" si="48"/>
        <v>426</v>
      </c>
      <c r="B430" s="2">
        <v>20</v>
      </c>
      <c r="C430" s="2">
        <v>0.4</v>
      </c>
      <c r="D430" s="2">
        <v>20</v>
      </c>
      <c r="E430" s="2">
        <v>1</v>
      </c>
      <c r="F430" s="2">
        <v>45</v>
      </c>
      <c r="G430" s="2">
        <v>0.9</v>
      </c>
      <c r="H430" s="2">
        <v>10</v>
      </c>
      <c r="I430" s="2">
        <v>0</v>
      </c>
      <c r="J430" s="2">
        <v>1</v>
      </c>
      <c r="K430">
        <f t="shared" si="42"/>
        <v>12.395583141373463</v>
      </c>
      <c r="L430">
        <f t="shared" si="43"/>
        <v>36.042170295548658</v>
      </c>
      <c r="M430">
        <f t="shared" si="44"/>
        <v>5.3754853558807626E-11</v>
      </c>
      <c r="N430">
        <f t="shared" si="45"/>
        <v>0.99999999994624511</v>
      </c>
      <c r="O430">
        <f t="shared" si="46"/>
        <v>0.99999999994624511</v>
      </c>
      <c r="P430">
        <f t="shared" si="47"/>
        <v>-5.3754889430048086E-11</v>
      </c>
    </row>
    <row r="431" spans="1:16" x14ac:dyDescent="0.3">
      <c r="A431" s="2">
        <f t="shared" si="48"/>
        <v>427</v>
      </c>
      <c r="B431" s="2">
        <v>20</v>
      </c>
      <c r="C431" s="2">
        <v>0.6</v>
      </c>
      <c r="D431" s="2">
        <v>15</v>
      </c>
      <c r="E431" s="2">
        <v>1</v>
      </c>
      <c r="F431" s="2">
        <v>60</v>
      </c>
      <c r="G431" s="2">
        <v>0.8</v>
      </c>
      <c r="H431" s="2">
        <v>10</v>
      </c>
      <c r="I431" s="2">
        <v>0</v>
      </c>
      <c r="J431" s="2">
        <v>1</v>
      </c>
      <c r="K431">
        <f t="shared" si="42"/>
        <v>15.716966204877139</v>
      </c>
      <c r="L431">
        <f t="shared" si="43"/>
        <v>23.651284866254684</v>
      </c>
      <c r="M431">
        <f t="shared" si="44"/>
        <v>3.5810768052735022E-4</v>
      </c>
      <c r="N431">
        <f t="shared" si="45"/>
        <v>0.99964189231947265</v>
      </c>
      <c r="O431">
        <f t="shared" si="46"/>
        <v>0.99964189231947265</v>
      </c>
      <c r="P431">
        <f t="shared" si="47"/>
        <v>-3.581718163949343E-4</v>
      </c>
    </row>
    <row r="432" spans="1:16" x14ac:dyDescent="0.3">
      <c r="A432" s="2">
        <f t="shared" si="48"/>
        <v>428</v>
      </c>
      <c r="B432" s="2">
        <v>25</v>
      </c>
      <c r="C432" s="2">
        <v>0.4</v>
      </c>
      <c r="D432" s="2">
        <v>25</v>
      </c>
      <c r="E432" s="2">
        <v>1</v>
      </c>
      <c r="F432" s="2">
        <v>90</v>
      </c>
      <c r="G432" s="2">
        <v>0.8</v>
      </c>
      <c r="H432" s="2">
        <v>20</v>
      </c>
      <c r="I432" s="2">
        <v>0</v>
      </c>
      <c r="J432" s="2">
        <v>1</v>
      </c>
      <c r="K432">
        <f t="shared" si="42"/>
        <v>38.945402608624036</v>
      </c>
      <c r="L432">
        <f t="shared" si="43"/>
        <v>46.199347853855429</v>
      </c>
      <c r="M432">
        <f t="shared" si="44"/>
        <v>7.0687806631735707E-4</v>
      </c>
      <c r="N432">
        <f t="shared" si="45"/>
        <v>0.99929312193368258</v>
      </c>
      <c r="O432">
        <f t="shared" si="46"/>
        <v>0.99929312193368258</v>
      </c>
      <c r="P432">
        <f t="shared" si="47"/>
        <v>-7.0712802241700251E-4</v>
      </c>
    </row>
    <row r="433" spans="1:16" x14ac:dyDescent="0.3">
      <c r="A433" s="2">
        <f t="shared" si="48"/>
        <v>429</v>
      </c>
      <c r="B433" s="2">
        <v>20</v>
      </c>
      <c r="C433" s="2">
        <v>0.8</v>
      </c>
      <c r="D433" s="2">
        <v>20</v>
      </c>
      <c r="E433" s="2">
        <v>1</v>
      </c>
      <c r="F433" s="2">
        <v>60</v>
      </c>
      <c r="G433" s="2">
        <v>1</v>
      </c>
      <c r="H433" s="2">
        <v>10</v>
      </c>
      <c r="I433" s="2">
        <v>0</v>
      </c>
      <c r="J433" s="2">
        <v>1</v>
      </c>
      <c r="K433">
        <f t="shared" si="42"/>
        <v>12.886118939701717</v>
      </c>
      <c r="L433">
        <f t="shared" si="43"/>
        <v>28.943065594804185</v>
      </c>
      <c r="M433">
        <f t="shared" si="44"/>
        <v>1.0630571805101684E-7</v>
      </c>
      <c r="N433">
        <f t="shared" si="45"/>
        <v>0.99999989369428188</v>
      </c>
      <c r="O433">
        <f t="shared" si="46"/>
        <v>0.99999989369428188</v>
      </c>
      <c r="P433">
        <f t="shared" si="47"/>
        <v>-1.0630572376765883E-7</v>
      </c>
    </row>
    <row r="434" spans="1:16" x14ac:dyDescent="0.3">
      <c r="A434" s="2">
        <f t="shared" si="48"/>
        <v>430</v>
      </c>
      <c r="B434" s="2">
        <v>15</v>
      </c>
      <c r="C434" s="2">
        <v>0.4</v>
      </c>
      <c r="D434" s="2">
        <v>15</v>
      </c>
      <c r="E434" s="2">
        <v>1</v>
      </c>
      <c r="F434" s="2">
        <v>90</v>
      </c>
      <c r="G434" s="2">
        <v>1</v>
      </c>
      <c r="H434" s="2">
        <v>10</v>
      </c>
      <c r="I434" s="2">
        <v>0</v>
      </c>
      <c r="J434" s="2">
        <v>1</v>
      </c>
      <c r="K434">
        <f t="shared" si="42"/>
        <v>16.698037801533648</v>
      </c>
      <c r="L434">
        <f t="shared" si="43"/>
        <v>25.884992737241895</v>
      </c>
      <c r="M434">
        <f t="shared" si="44"/>
        <v>1.0235562421392558E-4</v>
      </c>
      <c r="N434">
        <f t="shared" si="45"/>
        <v>0.9998976443757861</v>
      </c>
      <c r="O434">
        <f t="shared" si="46"/>
        <v>0.9998976443757861</v>
      </c>
      <c r="P434">
        <f t="shared" si="47"/>
        <v>-1.0236086290828159E-4</v>
      </c>
    </row>
    <row r="435" spans="1:16" x14ac:dyDescent="0.3">
      <c r="A435" s="2">
        <f t="shared" si="48"/>
        <v>431</v>
      </c>
      <c r="B435" s="2">
        <v>15</v>
      </c>
      <c r="C435" s="2">
        <v>0.4</v>
      </c>
      <c r="D435" s="2">
        <v>20</v>
      </c>
      <c r="E435" s="2">
        <v>1</v>
      </c>
      <c r="F435" s="2">
        <v>45</v>
      </c>
      <c r="G435" s="2">
        <v>0.8</v>
      </c>
      <c r="H435" s="2">
        <v>20</v>
      </c>
      <c r="I435" s="2">
        <v>0</v>
      </c>
      <c r="J435" s="2">
        <v>1</v>
      </c>
      <c r="K435">
        <f t="shared" si="42"/>
        <v>33.227524315876146</v>
      </c>
      <c r="L435">
        <f t="shared" si="43"/>
        <v>34.72632581616363</v>
      </c>
      <c r="M435">
        <f t="shared" si="44"/>
        <v>0.18260434382609014</v>
      </c>
      <c r="N435">
        <f t="shared" si="45"/>
        <v>0.81739565617390986</v>
      </c>
      <c r="O435">
        <f t="shared" si="46"/>
        <v>0.81739565617390986</v>
      </c>
      <c r="P435">
        <f t="shared" si="47"/>
        <v>-0.20163202206486955</v>
      </c>
    </row>
    <row r="436" spans="1:16" x14ac:dyDescent="0.3">
      <c r="A436" s="2">
        <f t="shared" si="48"/>
        <v>432</v>
      </c>
      <c r="B436" s="2">
        <v>25</v>
      </c>
      <c r="C436" s="2">
        <v>0.6</v>
      </c>
      <c r="D436" s="2">
        <v>15</v>
      </c>
      <c r="E436" s="2">
        <v>1</v>
      </c>
      <c r="F436" s="2">
        <v>45</v>
      </c>
      <c r="G436" s="2">
        <v>0.8</v>
      </c>
      <c r="H436" s="2">
        <v>10</v>
      </c>
      <c r="I436" s="2">
        <v>0</v>
      </c>
      <c r="J436" s="2">
        <v>1</v>
      </c>
      <c r="K436">
        <f t="shared" si="42"/>
        <v>13.811006773961173</v>
      </c>
      <c r="L436">
        <f t="shared" si="43"/>
        <v>24.967129345639712</v>
      </c>
      <c r="M436">
        <f t="shared" si="44"/>
        <v>1.4287338119607603E-5</v>
      </c>
      <c r="N436">
        <f t="shared" si="45"/>
        <v>0.99998571266188041</v>
      </c>
      <c r="O436">
        <f t="shared" si="46"/>
        <v>0.99998571266188041</v>
      </c>
      <c r="P436">
        <f t="shared" si="47"/>
        <v>-1.428744018457703E-5</v>
      </c>
    </row>
    <row r="437" spans="1:16" x14ac:dyDescent="0.3">
      <c r="A437" s="2">
        <f t="shared" si="48"/>
        <v>433</v>
      </c>
      <c r="B437" s="2">
        <v>15</v>
      </c>
      <c r="C437" s="2">
        <v>0.8</v>
      </c>
      <c r="D437" s="2">
        <v>25</v>
      </c>
      <c r="E437" s="2">
        <v>1</v>
      </c>
      <c r="F437" s="2">
        <v>60</v>
      </c>
      <c r="G437" s="2">
        <v>0.9</v>
      </c>
      <c r="H437" s="2">
        <v>20</v>
      </c>
      <c r="I437" s="2">
        <v>0</v>
      </c>
      <c r="J437" s="2">
        <v>1</v>
      </c>
      <c r="K437">
        <f t="shared" si="42"/>
        <v>33.718060114204398</v>
      </c>
      <c r="L437">
        <f t="shared" si="43"/>
        <v>36.468554194340904</v>
      </c>
      <c r="M437">
        <f t="shared" si="44"/>
        <v>6.0058752447550837E-2</v>
      </c>
      <c r="N437">
        <f t="shared" si="45"/>
        <v>0.93994124755244923</v>
      </c>
      <c r="O437">
        <f t="shared" si="46"/>
        <v>0.93994124755244923</v>
      </c>
      <c r="P437">
        <f t="shared" si="47"/>
        <v>-6.1937908275234016E-2</v>
      </c>
    </row>
    <row r="438" spans="1:16" x14ac:dyDescent="0.3">
      <c r="A438" s="2">
        <f t="shared" si="48"/>
        <v>434</v>
      </c>
      <c r="B438" s="2">
        <v>20</v>
      </c>
      <c r="C438" s="2">
        <v>0.6</v>
      </c>
      <c r="D438" s="2">
        <v>20</v>
      </c>
      <c r="E438" s="2">
        <v>1</v>
      </c>
      <c r="F438" s="2">
        <v>90</v>
      </c>
      <c r="G438" s="2">
        <v>0.8</v>
      </c>
      <c r="H438" s="2">
        <v>40</v>
      </c>
      <c r="I438" s="2">
        <v>1</v>
      </c>
      <c r="J438" s="2">
        <v>0</v>
      </c>
      <c r="K438">
        <f t="shared" si="42"/>
        <v>77.778437692453977</v>
      </c>
      <c r="L438">
        <f t="shared" si="43"/>
        <v>32.49261794517642</v>
      </c>
      <c r="M438">
        <f t="shared" si="44"/>
        <v>1</v>
      </c>
      <c r="N438">
        <f t="shared" si="45"/>
        <v>2.1508908660141351E-20</v>
      </c>
      <c r="O438">
        <f t="shared" si="46"/>
        <v>1</v>
      </c>
      <c r="P438">
        <f t="shared" si="47"/>
        <v>0</v>
      </c>
    </row>
    <row r="439" spans="1:16" x14ac:dyDescent="0.3">
      <c r="A439" s="2">
        <f t="shared" si="48"/>
        <v>435</v>
      </c>
      <c r="B439" s="2">
        <v>20</v>
      </c>
      <c r="C439" s="2">
        <v>0.4</v>
      </c>
      <c r="D439" s="2">
        <v>25</v>
      </c>
      <c r="E439" s="2">
        <v>1</v>
      </c>
      <c r="F439" s="2">
        <v>45</v>
      </c>
      <c r="G439" s="2">
        <v>0.8</v>
      </c>
      <c r="H439" s="2">
        <v>20</v>
      </c>
      <c r="I439" s="2">
        <v>0</v>
      </c>
      <c r="J439" s="2">
        <v>1</v>
      </c>
      <c r="K439">
        <f t="shared" si="42"/>
        <v>33.227524315876146</v>
      </c>
      <c r="L439">
        <f t="shared" si="43"/>
        <v>44.883503374470401</v>
      </c>
      <c r="M439">
        <f t="shared" si="44"/>
        <v>8.6670010589271347E-6</v>
      </c>
      <c r="N439">
        <f t="shared" si="45"/>
        <v>0.99999133299894116</v>
      </c>
      <c r="O439">
        <f t="shared" si="46"/>
        <v>0.99999133299894116</v>
      </c>
      <c r="P439">
        <f t="shared" si="47"/>
        <v>-8.6670386175081342E-6</v>
      </c>
    </row>
    <row r="440" spans="1:16" x14ac:dyDescent="0.3">
      <c r="A440" s="2">
        <f t="shared" si="48"/>
        <v>436</v>
      </c>
      <c r="B440" s="2">
        <v>20</v>
      </c>
      <c r="C440" s="2">
        <v>0.8</v>
      </c>
      <c r="D440" s="2">
        <v>25</v>
      </c>
      <c r="E440" s="2">
        <v>1</v>
      </c>
      <c r="F440" s="2">
        <v>60</v>
      </c>
      <c r="G440" s="2">
        <v>0.8</v>
      </c>
      <c r="H440" s="2">
        <v>20</v>
      </c>
      <c r="I440" s="2">
        <v>0</v>
      </c>
      <c r="J440" s="2">
        <v>1</v>
      </c>
      <c r="K440">
        <f t="shared" si="42"/>
        <v>35.133483746792109</v>
      </c>
      <c r="L440">
        <f t="shared" si="43"/>
        <v>37.784398673725924</v>
      </c>
      <c r="M440">
        <f t="shared" si="44"/>
        <v>6.5932640850868265E-2</v>
      </c>
      <c r="N440">
        <f t="shared" si="45"/>
        <v>0.93406735914913164</v>
      </c>
      <c r="O440">
        <f t="shared" si="46"/>
        <v>0.93406735914913164</v>
      </c>
      <c r="P440">
        <f t="shared" si="47"/>
        <v>-6.8206724350391795E-2</v>
      </c>
    </row>
    <row r="441" spans="1:16" x14ac:dyDescent="0.3">
      <c r="A441" s="2">
        <f t="shared" si="48"/>
        <v>437</v>
      </c>
      <c r="B441" s="2">
        <v>25</v>
      </c>
      <c r="C441" s="2">
        <v>0.4</v>
      </c>
      <c r="D441" s="2">
        <v>15</v>
      </c>
      <c r="E441" s="2">
        <v>1</v>
      </c>
      <c r="F441" s="2">
        <v>45</v>
      </c>
      <c r="G441" s="2">
        <v>0.9</v>
      </c>
      <c r="H441" s="2">
        <v>20</v>
      </c>
      <c r="I441" s="2">
        <v>1</v>
      </c>
      <c r="J441" s="2">
        <v>0</v>
      </c>
      <c r="K441">
        <f t="shared" si="42"/>
        <v>31.812100683288435</v>
      </c>
      <c r="L441">
        <f t="shared" si="43"/>
        <v>28.51668169601195</v>
      </c>
      <c r="M441">
        <f t="shared" si="44"/>
        <v>0.96427132026156659</v>
      </c>
      <c r="N441">
        <f t="shared" si="45"/>
        <v>3.5728679738433369E-2</v>
      </c>
      <c r="O441">
        <f t="shared" si="46"/>
        <v>0.96427132026156659</v>
      </c>
      <c r="P441">
        <f t="shared" si="47"/>
        <v>-3.6382571418438821E-2</v>
      </c>
    </row>
    <row r="442" spans="1:16" x14ac:dyDescent="0.3">
      <c r="A442" s="2">
        <f t="shared" si="48"/>
        <v>438</v>
      </c>
      <c r="B442" s="2">
        <v>15</v>
      </c>
      <c r="C442" s="2">
        <v>0.8</v>
      </c>
      <c r="D442" s="2">
        <v>25</v>
      </c>
      <c r="E442" s="2">
        <v>1</v>
      </c>
      <c r="F442" s="2">
        <v>60</v>
      </c>
      <c r="G442" s="2">
        <v>1</v>
      </c>
      <c r="H442" s="2">
        <v>40</v>
      </c>
      <c r="I442" s="2">
        <v>1</v>
      </c>
      <c r="J442" s="2">
        <v>0</v>
      </c>
      <c r="K442">
        <f t="shared" si="42"/>
        <v>71.135671565446629</v>
      </c>
      <c r="L442">
        <f t="shared" si="43"/>
        <v>36.468554194340904</v>
      </c>
      <c r="M442">
        <f t="shared" si="44"/>
        <v>0.99999999999999911</v>
      </c>
      <c r="N442">
        <f t="shared" si="45"/>
        <v>8.7955342122939006E-16</v>
      </c>
      <c r="O442">
        <f t="shared" si="46"/>
        <v>0.99999999999999911</v>
      </c>
      <c r="P442">
        <f t="shared" si="47"/>
        <v>-8.8817841970012563E-16</v>
      </c>
    </row>
    <row r="443" spans="1:16" x14ac:dyDescent="0.3">
      <c r="A443" s="2">
        <f t="shared" si="48"/>
        <v>439</v>
      </c>
      <c r="B443" s="2">
        <v>20</v>
      </c>
      <c r="C443" s="2">
        <v>0.4</v>
      </c>
      <c r="D443" s="2">
        <v>20</v>
      </c>
      <c r="E443" s="2">
        <v>1</v>
      </c>
      <c r="F443" s="2">
        <v>45</v>
      </c>
      <c r="G443" s="2">
        <v>1</v>
      </c>
      <c r="H443" s="2">
        <v>40</v>
      </c>
      <c r="I443" s="2">
        <v>1</v>
      </c>
      <c r="J443" s="2">
        <v>0</v>
      </c>
      <c r="K443">
        <f t="shared" si="42"/>
        <v>69.229712134530658</v>
      </c>
      <c r="L443">
        <f t="shared" si="43"/>
        <v>36.042170295548658</v>
      </c>
      <c r="M443">
        <f t="shared" si="44"/>
        <v>0.99999999999999611</v>
      </c>
      <c r="N443">
        <f t="shared" si="45"/>
        <v>3.8621906790712074E-15</v>
      </c>
      <c r="O443">
        <f t="shared" si="46"/>
        <v>0.99999999999999611</v>
      </c>
      <c r="P443">
        <f t="shared" si="47"/>
        <v>-3.8857805861880558E-15</v>
      </c>
    </row>
    <row r="444" spans="1:16" x14ac:dyDescent="0.3">
      <c r="A444" s="2">
        <f t="shared" si="48"/>
        <v>440</v>
      </c>
      <c r="B444" s="2">
        <v>25</v>
      </c>
      <c r="C444" s="2">
        <v>0.6</v>
      </c>
      <c r="D444" s="2">
        <v>25</v>
      </c>
      <c r="E444" s="2">
        <v>1</v>
      </c>
      <c r="F444" s="2">
        <v>60</v>
      </c>
      <c r="G444" s="2">
        <v>0.9</v>
      </c>
      <c r="H444" s="2">
        <v>20</v>
      </c>
      <c r="I444" s="2">
        <v>0</v>
      </c>
      <c r="J444" s="2">
        <v>1</v>
      </c>
      <c r="K444">
        <f t="shared" si="42"/>
        <v>33.718060114204398</v>
      </c>
      <c r="L444">
        <f t="shared" si="43"/>
        <v>42.649795503483197</v>
      </c>
      <c r="M444">
        <f t="shared" si="44"/>
        <v>1.3211107537877228E-4</v>
      </c>
      <c r="N444">
        <f t="shared" si="45"/>
        <v>0.9998678889246212</v>
      </c>
      <c r="O444">
        <f t="shared" si="46"/>
        <v>0.9998678889246212</v>
      </c>
      <c r="P444">
        <f t="shared" si="47"/>
        <v>-1.3211980281559266E-4</v>
      </c>
    </row>
    <row r="445" spans="1:16" x14ac:dyDescent="0.3">
      <c r="A445" s="2">
        <f t="shared" si="48"/>
        <v>441</v>
      </c>
      <c r="B445" s="2">
        <v>15</v>
      </c>
      <c r="C445" s="2">
        <v>0.8</v>
      </c>
      <c r="D445" s="2">
        <v>15</v>
      </c>
      <c r="E445" s="2">
        <v>1</v>
      </c>
      <c r="F445" s="2">
        <v>60</v>
      </c>
      <c r="G445" s="2">
        <v>0.9</v>
      </c>
      <c r="H445" s="2">
        <v>20</v>
      </c>
      <c r="I445" s="2">
        <v>1</v>
      </c>
      <c r="J445" s="2">
        <v>0</v>
      </c>
      <c r="K445">
        <f t="shared" si="42"/>
        <v>33.718060114204398</v>
      </c>
      <c r="L445">
        <f t="shared" si="43"/>
        <v>18.785888036497418</v>
      </c>
      <c r="M445">
        <f t="shared" si="44"/>
        <v>0.99999967262921363</v>
      </c>
      <c r="N445">
        <f t="shared" si="45"/>
        <v>3.2737078639682079E-7</v>
      </c>
      <c r="O445">
        <f t="shared" si="46"/>
        <v>0.99999967262921363</v>
      </c>
      <c r="P445">
        <f t="shared" si="47"/>
        <v>-3.2737083995406935E-7</v>
      </c>
    </row>
    <row r="446" spans="1:16" x14ac:dyDescent="0.3">
      <c r="A446" s="2">
        <f t="shared" si="48"/>
        <v>442</v>
      </c>
      <c r="B446" s="2">
        <v>20</v>
      </c>
      <c r="C446" s="2">
        <v>0.6</v>
      </c>
      <c r="D446" s="2">
        <v>25</v>
      </c>
      <c r="E446" s="2">
        <v>1</v>
      </c>
      <c r="F446" s="2">
        <v>90</v>
      </c>
      <c r="G446" s="2">
        <v>0.8</v>
      </c>
      <c r="H446" s="2">
        <v>40</v>
      </c>
      <c r="I446" s="2">
        <v>1</v>
      </c>
      <c r="J446" s="2">
        <v>0</v>
      </c>
      <c r="K446">
        <f t="shared" si="42"/>
        <v>77.778437692453977</v>
      </c>
      <c r="L446">
        <f t="shared" si="43"/>
        <v>41.33395102409817</v>
      </c>
      <c r="M446">
        <f t="shared" si="44"/>
        <v>0.99999999999999978</v>
      </c>
      <c r="N446">
        <f t="shared" si="45"/>
        <v>1.4871697538181265E-16</v>
      </c>
      <c r="O446">
        <f t="shared" si="46"/>
        <v>0.99999999999999978</v>
      </c>
      <c r="P446">
        <f t="shared" si="47"/>
        <v>-2.2204460492503131E-16</v>
      </c>
    </row>
    <row r="447" spans="1:16" x14ac:dyDescent="0.3">
      <c r="A447" s="2">
        <f t="shared" si="48"/>
        <v>443</v>
      </c>
      <c r="B447" s="2">
        <v>15</v>
      </c>
      <c r="C447" s="2">
        <v>0.8</v>
      </c>
      <c r="D447" s="2">
        <v>15</v>
      </c>
      <c r="E447" s="2">
        <v>1</v>
      </c>
      <c r="F447" s="2">
        <v>90</v>
      </c>
      <c r="G447" s="2">
        <v>0.8</v>
      </c>
      <c r="H447" s="2">
        <v>10</v>
      </c>
      <c r="I447" s="2">
        <v>1</v>
      </c>
      <c r="J447" s="2">
        <v>0</v>
      </c>
      <c r="K447">
        <f t="shared" si="42"/>
        <v>19.528885066709069</v>
      </c>
      <c r="L447">
        <f t="shared" si="43"/>
        <v>18.785888036497418</v>
      </c>
      <c r="M447">
        <f t="shared" si="44"/>
        <v>0.67765087627471732</v>
      </c>
      <c r="N447">
        <f t="shared" si="45"/>
        <v>0.32234912372528263</v>
      </c>
      <c r="O447">
        <f t="shared" si="46"/>
        <v>0.67765087627471732</v>
      </c>
      <c r="P447">
        <f t="shared" si="47"/>
        <v>-0.38912305541282843</v>
      </c>
    </row>
    <row r="448" spans="1:16" x14ac:dyDescent="0.3">
      <c r="A448" s="2">
        <f t="shared" si="48"/>
        <v>444</v>
      </c>
      <c r="B448" s="2">
        <v>25</v>
      </c>
      <c r="C448" s="2">
        <v>0.8</v>
      </c>
      <c r="D448" s="2">
        <v>15</v>
      </c>
      <c r="E448" s="2">
        <v>1</v>
      </c>
      <c r="F448" s="2">
        <v>45</v>
      </c>
      <c r="G448" s="2">
        <v>0.9</v>
      </c>
      <c r="H448" s="2">
        <v>10</v>
      </c>
      <c r="I448" s="2">
        <v>0</v>
      </c>
      <c r="J448" s="2">
        <v>1</v>
      </c>
      <c r="K448">
        <f t="shared" si="42"/>
        <v>12.395583141373463</v>
      </c>
      <c r="L448">
        <f t="shared" si="43"/>
        <v>21.417576995267474</v>
      </c>
      <c r="M448">
        <f t="shared" si="44"/>
        <v>1.2071060493559836E-4</v>
      </c>
      <c r="N448">
        <f t="shared" si="45"/>
        <v>0.99987928939506443</v>
      </c>
      <c r="O448">
        <f t="shared" si="46"/>
        <v>0.99987928939506443</v>
      </c>
      <c r="P448">
        <f t="shared" si="47"/>
        <v>-1.2071789104698842E-4</v>
      </c>
    </row>
    <row r="449" spans="1:16" x14ac:dyDescent="0.3">
      <c r="A449" s="2">
        <f t="shared" si="48"/>
        <v>445</v>
      </c>
      <c r="B449" s="2">
        <v>25</v>
      </c>
      <c r="C449" s="2">
        <v>0.4</v>
      </c>
      <c r="D449" s="2">
        <v>20</v>
      </c>
      <c r="E449" s="2">
        <v>1</v>
      </c>
      <c r="F449" s="2">
        <v>90</v>
      </c>
      <c r="G449" s="2">
        <v>1</v>
      </c>
      <c r="H449" s="2">
        <v>20</v>
      </c>
      <c r="I449" s="2">
        <v>0</v>
      </c>
      <c r="J449" s="2">
        <v>1</v>
      </c>
      <c r="K449">
        <f t="shared" si="42"/>
        <v>36.114555343448615</v>
      </c>
      <c r="L449">
        <f t="shared" si="43"/>
        <v>37.358014774933686</v>
      </c>
      <c r="M449">
        <f t="shared" si="44"/>
        <v>0.22383439570163238</v>
      </c>
      <c r="N449">
        <f t="shared" si="45"/>
        <v>0.77616560429836767</v>
      </c>
      <c r="O449">
        <f t="shared" si="46"/>
        <v>0.77616560429836767</v>
      </c>
      <c r="P449">
        <f t="shared" si="47"/>
        <v>-0.2533893739660919</v>
      </c>
    </row>
    <row r="450" spans="1:16" x14ac:dyDescent="0.3">
      <c r="A450" s="2">
        <f t="shared" si="48"/>
        <v>446</v>
      </c>
      <c r="B450" s="2">
        <v>15</v>
      </c>
      <c r="C450" s="2">
        <v>0.8</v>
      </c>
      <c r="D450" s="2">
        <v>25</v>
      </c>
      <c r="E450" s="2">
        <v>1</v>
      </c>
      <c r="F450" s="2">
        <v>45</v>
      </c>
      <c r="G450" s="2">
        <v>0.9</v>
      </c>
      <c r="H450" s="2">
        <v>10</v>
      </c>
      <c r="I450" s="2">
        <v>0</v>
      </c>
      <c r="J450" s="2">
        <v>1</v>
      </c>
      <c r="K450">
        <f t="shared" si="42"/>
        <v>12.395583141373463</v>
      </c>
      <c r="L450">
        <f t="shared" si="43"/>
        <v>36.468554194340904</v>
      </c>
      <c r="M450">
        <f t="shared" si="44"/>
        <v>3.5094697929637609E-11</v>
      </c>
      <c r="N450">
        <f t="shared" si="45"/>
        <v>0.99999999996490518</v>
      </c>
      <c r="O450">
        <f t="shared" si="46"/>
        <v>0.99999999996490518</v>
      </c>
      <c r="P450">
        <f t="shared" si="47"/>
        <v>-3.5094815942831796E-11</v>
      </c>
    </row>
    <row r="451" spans="1:16" x14ac:dyDescent="0.3">
      <c r="A451" s="2">
        <f t="shared" si="48"/>
        <v>447</v>
      </c>
      <c r="B451" s="2">
        <v>25</v>
      </c>
      <c r="C451" s="2">
        <v>0.6</v>
      </c>
      <c r="D451" s="2">
        <v>20</v>
      </c>
      <c r="E451" s="2">
        <v>1</v>
      </c>
      <c r="F451" s="2">
        <v>90</v>
      </c>
      <c r="G451" s="2">
        <v>0.8</v>
      </c>
      <c r="H451" s="2">
        <v>20</v>
      </c>
      <c r="I451" s="2">
        <v>1</v>
      </c>
      <c r="J451" s="2">
        <v>0</v>
      </c>
      <c r="K451">
        <f t="shared" si="42"/>
        <v>38.945402608624036</v>
      </c>
      <c r="L451">
        <f t="shared" si="43"/>
        <v>33.808462424561448</v>
      </c>
      <c r="M451">
        <f t="shared" si="44"/>
        <v>0.99415868087698489</v>
      </c>
      <c r="N451">
        <f t="shared" si="45"/>
        <v>5.8413191230150697E-3</v>
      </c>
      <c r="O451">
        <f t="shared" si="46"/>
        <v>0.99415868087698489</v>
      </c>
      <c r="P451">
        <f t="shared" si="47"/>
        <v>-5.8584463572254851E-3</v>
      </c>
    </row>
    <row r="452" spans="1:16" x14ac:dyDescent="0.3">
      <c r="A452" s="2">
        <f t="shared" si="48"/>
        <v>448</v>
      </c>
      <c r="B452" s="2">
        <v>25</v>
      </c>
      <c r="C452" s="2">
        <v>0.8</v>
      </c>
      <c r="D452" s="2">
        <v>15</v>
      </c>
      <c r="E452" s="2">
        <v>1</v>
      </c>
      <c r="F452" s="2">
        <v>90</v>
      </c>
      <c r="G452" s="2">
        <v>0.8</v>
      </c>
      <c r="H452" s="2">
        <v>10</v>
      </c>
      <c r="I452" s="2">
        <v>0</v>
      </c>
      <c r="J452" s="2">
        <v>1</v>
      </c>
      <c r="K452">
        <f t="shared" si="42"/>
        <v>19.528885066709069</v>
      </c>
      <c r="L452">
        <f t="shared" si="43"/>
        <v>21.417576995267474</v>
      </c>
      <c r="M452">
        <f t="shared" si="44"/>
        <v>0.13139368686042902</v>
      </c>
      <c r="N452">
        <f t="shared" si="45"/>
        <v>0.86860631313957104</v>
      </c>
      <c r="O452">
        <f t="shared" si="46"/>
        <v>0.86860631313957104</v>
      </c>
      <c r="P452">
        <f t="shared" si="47"/>
        <v>-0.14086529072964415</v>
      </c>
    </row>
    <row r="453" spans="1:16" x14ac:dyDescent="0.3">
      <c r="A453" s="2">
        <f t="shared" si="48"/>
        <v>449</v>
      </c>
      <c r="B453" s="2">
        <v>25</v>
      </c>
      <c r="C453" s="2">
        <v>0.8</v>
      </c>
      <c r="D453" s="2">
        <v>20</v>
      </c>
      <c r="E453" s="2">
        <v>1</v>
      </c>
      <c r="F453" s="2">
        <v>60</v>
      </c>
      <c r="G453" s="2">
        <v>0.9</v>
      </c>
      <c r="H453" s="2">
        <v>40</v>
      </c>
      <c r="I453" s="2">
        <v>1</v>
      </c>
      <c r="J453" s="2">
        <v>0</v>
      </c>
      <c r="K453">
        <f t="shared" si="42"/>
        <v>72.551095198034346</v>
      </c>
      <c r="L453">
        <f t="shared" si="43"/>
        <v>30.258910074189213</v>
      </c>
      <c r="M453">
        <f t="shared" si="44"/>
        <v>1</v>
      </c>
      <c r="N453">
        <f t="shared" si="45"/>
        <v>4.2927675566534623E-19</v>
      </c>
      <c r="O453">
        <f t="shared" si="46"/>
        <v>1</v>
      </c>
      <c r="P453">
        <f t="shared" si="47"/>
        <v>0</v>
      </c>
    </row>
    <row r="454" spans="1:16" x14ac:dyDescent="0.3">
      <c r="A454" s="2">
        <f t="shared" si="48"/>
        <v>450</v>
      </c>
      <c r="B454" s="2">
        <v>20</v>
      </c>
      <c r="C454" s="2">
        <v>0.8</v>
      </c>
      <c r="D454" s="2">
        <v>15</v>
      </c>
      <c r="E454" s="2">
        <v>1</v>
      </c>
      <c r="F454" s="2">
        <v>45</v>
      </c>
      <c r="G454" s="2">
        <v>1</v>
      </c>
      <c r="H454" s="2">
        <v>10</v>
      </c>
      <c r="I454" s="2">
        <v>0</v>
      </c>
      <c r="J454" s="2">
        <v>1</v>
      </c>
      <c r="K454">
        <f t="shared" ref="K454:K517" si="49">$F$3*F454+$G$3*G454+$H$3*H454</f>
        <v>10.980159508785752</v>
      </c>
      <c r="L454">
        <f t="shared" ref="L454:L517" si="50">$B$3*B454+$C$3*C454+$D$3*D454+$E$3*E454</f>
        <v>20.101732515882446</v>
      </c>
      <c r="M454">
        <f t="shared" ref="M454:M517" si="51">EXP(K454)/(EXP(K454)+EXP(L454))</f>
        <v>1.0927069830485725E-4</v>
      </c>
      <c r="N454">
        <f t="shared" ref="N454:N517" si="52">EXP(L454)/(EXP(L454)+EXP(K454))</f>
        <v>0.99989072930169509</v>
      </c>
      <c r="O454">
        <f t="shared" ref="O454:O517" si="53">I454*M454+J454*N454</f>
        <v>0.99989072930169509</v>
      </c>
      <c r="P454">
        <f t="shared" ref="P454:P517" si="54">LN(O454)</f>
        <v>-1.0927666878259871E-4</v>
      </c>
    </row>
    <row r="455" spans="1:16" x14ac:dyDescent="0.3">
      <c r="A455" s="2">
        <f t="shared" ref="A455:A518" si="55">A454+1</f>
        <v>451</v>
      </c>
      <c r="B455" s="2">
        <v>20</v>
      </c>
      <c r="C455" s="2">
        <v>0.6</v>
      </c>
      <c r="D455" s="2">
        <v>15</v>
      </c>
      <c r="E455" s="2">
        <v>1</v>
      </c>
      <c r="F455" s="2">
        <v>45</v>
      </c>
      <c r="G455" s="2">
        <v>0.8</v>
      </c>
      <c r="H455" s="2">
        <v>20</v>
      </c>
      <c r="I455" s="2">
        <v>1</v>
      </c>
      <c r="J455" s="2">
        <v>0</v>
      </c>
      <c r="K455">
        <f t="shared" si="49"/>
        <v>33.227524315876146</v>
      </c>
      <c r="L455">
        <f t="shared" si="50"/>
        <v>23.651284866254684</v>
      </c>
      <c r="M455">
        <f t="shared" si="51"/>
        <v>0.99993064753063088</v>
      </c>
      <c r="N455">
        <f t="shared" si="52"/>
        <v>6.9352469369135501E-5</v>
      </c>
      <c r="O455">
        <f t="shared" si="53"/>
        <v>0.99993064753063088</v>
      </c>
      <c r="P455">
        <f t="shared" si="54"/>
        <v>-6.935487436282093E-5</v>
      </c>
    </row>
    <row r="456" spans="1:16" x14ac:dyDescent="0.3">
      <c r="A456" s="2">
        <f t="shared" si="55"/>
        <v>452</v>
      </c>
      <c r="B456" s="2">
        <v>15</v>
      </c>
      <c r="C456" s="2">
        <v>0.6</v>
      </c>
      <c r="D456" s="2">
        <v>25</v>
      </c>
      <c r="E456" s="2">
        <v>1</v>
      </c>
      <c r="F456" s="2">
        <v>60</v>
      </c>
      <c r="G456" s="2">
        <v>0.9</v>
      </c>
      <c r="H456" s="2">
        <v>10</v>
      </c>
      <c r="I456" s="2">
        <v>0</v>
      </c>
      <c r="J456" s="2">
        <v>1</v>
      </c>
      <c r="K456">
        <f t="shared" si="49"/>
        <v>14.301542572289428</v>
      </c>
      <c r="L456">
        <f t="shared" si="50"/>
        <v>40.018106544713142</v>
      </c>
      <c r="M456">
        <f t="shared" si="51"/>
        <v>6.7832554629963929E-12</v>
      </c>
      <c r="N456">
        <f t="shared" si="52"/>
        <v>0.99999999999321676</v>
      </c>
      <c r="O456">
        <f t="shared" si="53"/>
        <v>0.99999999999321676</v>
      </c>
      <c r="P456">
        <f t="shared" si="54"/>
        <v>-6.7832406358777874E-12</v>
      </c>
    </row>
    <row r="457" spans="1:16" x14ac:dyDescent="0.3">
      <c r="A457" s="2">
        <f t="shared" si="55"/>
        <v>453</v>
      </c>
      <c r="B457" s="2">
        <v>25</v>
      </c>
      <c r="C457" s="2">
        <v>0.4</v>
      </c>
      <c r="D457" s="2">
        <v>15</v>
      </c>
      <c r="E457" s="2">
        <v>1</v>
      </c>
      <c r="F457" s="2">
        <v>45</v>
      </c>
      <c r="G457" s="2">
        <v>0.9</v>
      </c>
      <c r="H457" s="2">
        <v>10</v>
      </c>
      <c r="I457" s="2">
        <v>0</v>
      </c>
      <c r="J457" s="2">
        <v>1</v>
      </c>
      <c r="K457">
        <f t="shared" si="49"/>
        <v>12.395583141373463</v>
      </c>
      <c r="L457">
        <f t="shared" si="50"/>
        <v>28.51668169601195</v>
      </c>
      <c r="M457">
        <f t="shared" si="51"/>
        <v>9.9700150112418545E-8</v>
      </c>
      <c r="N457">
        <f t="shared" si="52"/>
        <v>0.99999990029984986</v>
      </c>
      <c r="O457">
        <f t="shared" si="53"/>
        <v>0.99999990029984986</v>
      </c>
      <c r="P457">
        <f t="shared" si="54"/>
        <v>-9.9700155105777838E-8</v>
      </c>
    </row>
    <row r="458" spans="1:16" x14ac:dyDescent="0.3">
      <c r="A458" s="2">
        <f t="shared" si="55"/>
        <v>454</v>
      </c>
      <c r="B458" s="2">
        <v>15</v>
      </c>
      <c r="C458" s="2">
        <v>0.6</v>
      </c>
      <c r="D458" s="2">
        <v>25</v>
      </c>
      <c r="E458" s="2">
        <v>1</v>
      </c>
      <c r="F458" s="2">
        <v>60</v>
      </c>
      <c r="G458" s="2">
        <v>0.8</v>
      </c>
      <c r="H458" s="2">
        <v>10</v>
      </c>
      <c r="I458" s="2">
        <v>0</v>
      </c>
      <c r="J458" s="2">
        <v>1</v>
      </c>
      <c r="K458">
        <f t="shared" si="49"/>
        <v>15.716966204877139</v>
      </c>
      <c r="L458">
        <f t="shared" si="50"/>
        <v>40.018106544713142</v>
      </c>
      <c r="M458">
        <f t="shared" si="51"/>
        <v>2.7935010982745127E-11</v>
      </c>
      <c r="N458">
        <f t="shared" si="52"/>
        <v>0.9999999999720649</v>
      </c>
      <c r="O458">
        <f t="shared" si="53"/>
        <v>0.9999999999720649</v>
      </c>
      <c r="P458">
        <f t="shared" si="54"/>
        <v>-2.7935098679100985E-11</v>
      </c>
    </row>
    <row r="459" spans="1:16" x14ac:dyDescent="0.3">
      <c r="A459" s="2">
        <f t="shared" si="55"/>
        <v>455</v>
      </c>
      <c r="B459" s="2">
        <v>25</v>
      </c>
      <c r="C459" s="2">
        <v>0.6</v>
      </c>
      <c r="D459" s="2">
        <v>15</v>
      </c>
      <c r="E459" s="2">
        <v>1</v>
      </c>
      <c r="F459" s="2">
        <v>45</v>
      </c>
      <c r="G459" s="2">
        <v>1</v>
      </c>
      <c r="H459" s="2">
        <v>40</v>
      </c>
      <c r="I459" s="2">
        <v>1</v>
      </c>
      <c r="J459" s="2">
        <v>0</v>
      </c>
      <c r="K459">
        <f t="shared" si="49"/>
        <v>69.229712134530658</v>
      </c>
      <c r="L459">
        <f t="shared" si="50"/>
        <v>24.967129345639712</v>
      </c>
      <c r="M459">
        <f t="shared" si="51"/>
        <v>1</v>
      </c>
      <c r="N459">
        <f t="shared" si="52"/>
        <v>5.9841785072841197E-20</v>
      </c>
      <c r="O459">
        <f t="shared" si="53"/>
        <v>1</v>
      </c>
      <c r="P459">
        <f t="shared" si="54"/>
        <v>0</v>
      </c>
    </row>
    <row r="460" spans="1:16" x14ac:dyDescent="0.3">
      <c r="A460" s="2">
        <f t="shared" si="55"/>
        <v>456</v>
      </c>
      <c r="B460" s="2">
        <v>25</v>
      </c>
      <c r="C460" s="2">
        <v>0.6</v>
      </c>
      <c r="D460" s="2">
        <v>15</v>
      </c>
      <c r="E460" s="2">
        <v>1</v>
      </c>
      <c r="F460" s="2">
        <v>45</v>
      </c>
      <c r="G460" s="2">
        <v>1</v>
      </c>
      <c r="H460" s="2">
        <v>20</v>
      </c>
      <c r="I460" s="2">
        <v>1</v>
      </c>
      <c r="J460" s="2">
        <v>0</v>
      </c>
      <c r="K460">
        <f t="shared" si="49"/>
        <v>30.396677050700724</v>
      </c>
      <c r="L460">
        <f t="shared" si="50"/>
        <v>24.967129345639712</v>
      </c>
      <c r="M460">
        <f t="shared" si="51"/>
        <v>0.9956340662599511</v>
      </c>
      <c r="N460">
        <f t="shared" si="52"/>
        <v>4.3659337400488527E-3</v>
      </c>
      <c r="O460">
        <f t="shared" si="53"/>
        <v>0.9956340662599511</v>
      </c>
      <c r="P460">
        <f t="shared" si="54"/>
        <v>-4.3754922601495346E-3</v>
      </c>
    </row>
    <row r="461" spans="1:16" x14ac:dyDescent="0.3">
      <c r="A461" s="2">
        <f t="shared" si="55"/>
        <v>457</v>
      </c>
      <c r="B461" s="2">
        <v>20</v>
      </c>
      <c r="C461" s="2">
        <v>0.8</v>
      </c>
      <c r="D461" s="2">
        <v>25</v>
      </c>
      <c r="E461" s="2">
        <v>1</v>
      </c>
      <c r="F461" s="2">
        <v>45</v>
      </c>
      <c r="G461" s="2">
        <v>0.8</v>
      </c>
      <c r="H461" s="2">
        <v>40</v>
      </c>
      <c r="I461" s="2">
        <v>1</v>
      </c>
      <c r="J461" s="2">
        <v>0</v>
      </c>
      <c r="K461">
        <f t="shared" si="49"/>
        <v>72.060559399706079</v>
      </c>
      <c r="L461">
        <f t="shared" si="50"/>
        <v>37.784398673725924</v>
      </c>
      <c r="M461">
        <f t="shared" si="51"/>
        <v>0.99999999999999878</v>
      </c>
      <c r="N461">
        <f t="shared" si="52"/>
        <v>1.3003268668881249E-15</v>
      </c>
      <c r="O461">
        <f t="shared" si="53"/>
        <v>0.99999999999999878</v>
      </c>
      <c r="P461">
        <f t="shared" si="54"/>
        <v>-1.221245327087673E-15</v>
      </c>
    </row>
    <row r="462" spans="1:16" x14ac:dyDescent="0.3">
      <c r="A462" s="2">
        <f t="shared" si="55"/>
        <v>458</v>
      </c>
      <c r="B462" s="2">
        <v>15</v>
      </c>
      <c r="C462" s="2">
        <v>0.8</v>
      </c>
      <c r="D462" s="2">
        <v>25</v>
      </c>
      <c r="E462" s="2">
        <v>1</v>
      </c>
      <c r="F462" s="2">
        <v>45</v>
      </c>
      <c r="G462" s="2">
        <v>1</v>
      </c>
      <c r="H462" s="2">
        <v>20</v>
      </c>
      <c r="I462" s="2">
        <v>0</v>
      </c>
      <c r="J462" s="2">
        <v>1</v>
      </c>
      <c r="K462">
        <f t="shared" si="49"/>
        <v>30.396677050700724</v>
      </c>
      <c r="L462">
        <f t="shared" si="50"/>
        <v>36.468554194340904</v>
      </c>
      <c r="M462">
        <f t="shared" si="51"/>
        <v>2.3015296178692099E-3</v>
      </c>
      <c r="N462">
        <f t="shared" si="52"/>
        <v>0.99769847038213089</v>
      </c>
      <c r="O462">
        <f t="shared" si="53"/>
        <v>0.99769847038213089</v>
      </c>
      <c r="P462">
        <f t="shared" si="54"/>
        <v>-2.3041822079514006E-3</v>
      </c>
    </row>
    <row r="463" spans="1:16" x14ac:dyDescent="0.3">
      <c r="A463" s="2">
        <f t="shared" si="55"/>
        <v>459</v>
      </c>
      <c r="B463" s="2">
        <v>25</v>
      </c>
      <c r="C463" s="2">
        <v>0.8</v>
      </c>
      <c r="D463" s="2">
        <v>20</v>
      </c>
      <c r="E463" s="2">
        <v>1</v>
      </c>
      <c r="F463" s="2">
        <v>90</v>
      </c>
      <c r="G463" s="2">
        <v>0.8</v>
      </c>
      <c r="H463" s="2">
        <v>10</v>
      </c>
      <c r="I463" s="2">
        <v>0</v>
      </c>
      <c r="J463" s="2">
        <v>1</v>
      </c>
      <c r="K463">
        <f t="shared" si="49"/>
        <v>19.528885066709069</v>
      </c>
      <c r="L463">
        <f t="shared" si="50"/>
        <v>30.258910074189213</v>
      </c>
      <c r="M463">
        <f t="shared" si="51"/>
        <v>2.1877608539106527E-5</v>
      </c>
      <c r="N463">
        <f t="shared" si="52"/>
        <v>0.99997812239146089</v>
      </c>
      <c r="O463">
        <f t="shared" si="53"/>
        <v>0.99997812239146089</v>
      </c>
      <c r="P463">
        <f t="shared" si="54"/>
        <v>-2.1877847857479646E-5</v>
      </c>
    </row>
    <row r="464" spans="1:16" x14ac:dyDescent="0.3">
      <c r="A464" s="2">
        <f t="shared" si="55"/>
        <v>460</v>
      </c>
      <c r="B464" s="2">
        <v>20</v>
      </c>
      <c r="C464" s="2">
        <v>0.4</v>
      </c>
      <c r="D464" s="2">
        <v>25</v>
      </c>
      <c r="E464" s="2">
        <v>1</v>
      </c>
      <c r="F464" s="2">
        <v>90</v>
      </c>
      <c r="G464" s="2">
        <v>0.8</v>
      </c>
      <c r="H464" s="2">
        <v>40</v>
      </c>
      <c r="I464" s="2">
        <v>1</v>
      </c>
      <c r="J464" s="2">
        <v>0</v>
      </c>
      <c r="K464">
        <f t="shared" si="49"/>
        <v>77.778437692453977</v>
      </c>
      <c r="L464">
        <f t="shared" si="50"/>
        <v>44.883503374470401</v>
      </c>
      <c r="M464">
        <f t="shared" si="51"/>
        <v>0.99999999999999478</v>
      </c>
      <c r="N464">
        <f t="shared" si="52"/>
        <v>5.1750141680084904E-15</v>
      </c>
      <c r="O464">
        <f t="shared" si="53"/>
        <v>0.99999999999999478</v>
      </c>
      <c r="P464">
        <f t="shared" si="54"/>
        <v>-5.2180482157382492E-15</v>
      </c>
    </row>
    <row r="465" spans="1:16" x14ac:dyDescent="0.3">
      <c r="A465" s="2">
        <f t="shared" si="55"/>
        <v>461</v>
      </c>
      <c r="B465" s="2">
        <v>20</v>
      </c>
      <c r="C465" s="2">
        <v>0.4</v>
      </c>
      <c r="D465" s="2">
        <v>25</v>
      </c>
      <c r="E465" s="2">
        <v>1</v>
      </c>
      <c r="F465" s="2">
        <v>45</v>
      </c>
      <c r="G465" s="2">
        <v>1</v>
      </c>
      <c r="H465" s="2">
        <v>20</v>
      </c>
      <c r="I465" s="2">
        <v>0</v>
      </c>
      <c r="J465" s="2">
        <v>1</v>
      </c>
      <c r="K465">
        <f t="shared" si="49"/>
        <v>30.396677050700724</v>
      </c>
      <c r="L465">
        <f t="shared" si="50"/>
        <v>44.883503374470401</v>
      </c>
      <c r="M465">
        <f t="shared" si="51"/>
        <v>5.1103547073105792E-7</v>
      </c>
      <c r="N465">
        <f t="shared" si="52"/>
        <v>0.99999948896452928</v>
      </c>
      <c r="O465">
        <f t="shared" si="53"/>
        <v>0.99999948896452928</v>
      </c>
      <c r="P465">
        <f t="shared" si="54"/>
        <v>-5.1103560129696131E-7</v>
      </c>
    </row>
    <row r="466" spans="1:16" x14ac:dyDescent="0.3">
      <c r="A466" s="2">
        <f t="shared" si="55"/>
        <v>462</v>
      </c>
      <c r="B466" s="2">
        <v>15</v>
      </c>
      <c r="C466" s="2">
        <v>0.4</v>
      </c>
      <c r="D466" s="2">
        <v>15</v>
      </c>
      <c r="E466" s="2">
        <v>1</v>
      </c>
      <c r="F466" s="2">
        <v>45</v>
      </c>
      <c r="G466" s="2">
        <v>0.8</v>
      </c>
      <c r="H466" s="2">
        <v>40</v>
      </c>
      <c r="I466" s="2">
        <v>1</v>
      </c>
      <c r="J466" s="2">
        <v>0</v>
      </c>
      <c r="K466">
        <f t="shared" si="49"/>
        <v>72.060559399706079</v>
      </c>
      <c r="L466">
        <f t="shared" si="50"/>
        <v>25.884992737241895</v>
      </c>
      <c r="M466">
        <f t="shared" si="51"/>
        <v>1</v>
      </c>
      <c r="N466">
        <f t="shared" si="52"/>
        <v>8.8349927962895168E-21</v>
      </c>
      <c r="O466">
        <f t="shared" si="53"/>
        <v>1</v>
      </c>
      <c r="P466">
        <f t="shared" si="54"/>
        <v>0</v>
      </c>
    </row>
    <row r="467" spans="1:16" x14ac:dyDescent="0.3">
      <c r="A467" s="2">
        <f t="shared" si="55"/>
        <v>463</v>
      </c>
      <c r="B467" s="2">
        <v>25</v>
      </c>
      <c r="C467" s="2">
        <v>0.8</v>
      </c>
      <c r="D467" s="2">
        <v>25</v>
      </c>
      <c r="E467" s="2">
        <v>1</v>
      </c>
      <c r="F467" s="2">
        <v>90</v>
      </c>
      <c r="G467" s="2">
        <v>0.9</v>
      </c>
      <c r="H467" s="2">
        <v>40</v>
      </c>
      <c r="I467" s="2">
        <v>1</v>
      </c>
      <c r="J467" s="2">
        <v>0</v>
      </c>
      <c r="K467">
        <f t="shared" si="49"/>
        <v>76.363014059866273</v>
      </c>
      <c r="L467">
        <f t="shared" si="50"/>
        <v>39.100243153110959</v>
      </c>
      <c r="M467">
        <f t="shared" si="51"/>
        <v>1</v>
      </c>
      <c r="N467">
        <f t="shared" si="52"/>
        <v>6.5612141793411103E-17</v>
      </c>
      <c r="O467">
        <f t="shared" si="53"/>
        <v>1</v>
      </c>
      <c r="P467">
        <f t="shared" si="54"/>
        <v>0</v>
      </c>
    </row>
    <row r="468" spans="1:16" x14ac:dyDescent="0.3">
      <c r="A468" s="2">
        <f t="shared" si="55"/>
        <v>464</v>
      </c>
      <c r="B468" s="2">
        <v>20</v>
      </c>
      <c r="C468" s="2">
        <v>0.4</v>
      </c>
      <c r="D468" s="2">
        <v>15</v>
      </c>
      <c r="E468" s="2">
        <v>1</v>
      </c>
      <c r="F468" s="2">
        <v>45</v>
      </c>
      <c r="G468" s="2">
        <v>0.8</v>
      </c>
      <c r="H468" s="2">
        <v>10</v>
      </c>
      <c r="I468" s="2">
        <v>0</v>
      </c>
      <c r="J468" s="2">
        <v>1</v>
      </c>
      <c r="K468">
        <f t="shared" si="49"/>
        <v>13.811006773961173</v>
      </c>
      <c r="L468">
        <f t="shared" si="50"/>
        <v>27.200837216626923</v>
      </c>
      <c r="M468">
        <f t="shared" si="51"/>
        <v>1.530628728521831E-6</v>
      </c>
      <c r="N468">
        <f t="shared" si="52"/>
        <v>0.99999846937127157</v>
      </c>
      <c r="O468">
        <f t="shared" si="53"/>
        <v>0.99999846937127157</v>
      </c>
      <c r="P468">
        <f t="shared" si="54"/>
        <v>-1.5306298998433644E-6</v>
      </c>
    </row>
    <row r="469" spans="1:16" x14ac:dyDescent="0.3">
      <c r="A469" s="2">
        <f t="shared" si="55"/>
        <v>465</v>
      </c>
      <c r="B469" s="2">
        <v>20</v>
      </c>
      <c r="C469" s="2">
        <v>0.8</v>
      </c>
      <c r="D469" s="2">
        <v>25</v>
      </c>
      <c r="E469" s="2">
        <v>1</v>
      </c>
      <c r="F469" s="2">
        <v>45</v>
      </c>
      <c r="G469" s="2">
        <v>1</v>
      </c>
      <c r="H469" s="2">
        <v>40</v>
      </c>
      <c r="I469" s="2">
        <v>1</v>
      </c>
      <c r="J469" s="2">
        <v>0</v>
      </c>
      <c r="K469">
        <f t="shared" si="49"/>
        <v>69.229712134530658</v>
      </c>
      <c r="L469">
        <f t="shared" si="50"/>
        <v>37.784398673725924</v>
      </c>
      <c r="M469">
        <f t="shared" si="51"/>
        <v>0.99999999999997802</v>
      </c>
      <c r="N469">
        <f t="shared" si="52"/>
        <v>2.2053315074473295E-14</v>
      </c>
      <c r="O469">
        <f t="shared" si="53"/>
        <v>0.99999999999997802</v>
      </c>
      <c r="P469">
        <f t="shared" si="54"/>
        <v>-2.1982415887578342E-14</v>
      </c>
    </row>
    <row r="470" spans="1:16" x14ac:dyDescent="0.3">
      <c r="A470" s="2">
        <f t="shared" si="55"/>
        <v>466</v>
      </c>
      <c r="B470" s="2">
        <v>20</v>
      </c>
      <c r="C470" s="2">
        <v>0.4</v>
      </c>
      <c r="D470" s="2">
        <v>20</v>
      </c>
      <c r="E470" s="2">
        <v>1</v>
      </c>
      <c r="F470" s="2">
        <v>60</v>
      </c>
      <c r="G470" s="2">
        <v>0.9</v>
      </c>
      <c r="H470" s="2">
        <v>40</v>
      </c>
      <c r="I470" s="2">
        <v>1</v>
      </c>
      <c r="J470" s="2">
        <v>0</v>
      </c>
      <c r="K470">
        <f t="shared" si="49"/>
        <v>72.551095198034346</v>
      </c>
      <c r="L470">
        <f t="shared" si="50"/>
        <v>36.042170295548658</v>
      </c>
      <c r="M470">
        <f t="shared" si="51"/>
        <v>0.99999999999999989</v>
      </c>
      <c r="N470">
        <f t="shared" si="52"/>
        <v>1.3943614735326636E-16</v>
      </c>
      <c r="O470">
        <f t="shared" si="53"/>
        <v>0.99999999999999989</v>
      </c>
      <c r="P470">
        <f t="shared" si="54"/>
        <v>-1.1102230246251565E-16</v>
      </c>
    </row>
    <row r="471" spans="1:16" x14ac:dyDescent="0.3">
      <c r="A471" s="2">
        <f t="shared" si="55"/>
        <v>467</v>
      </c>
      <c r="B471" s="2">
        <v>15</v>
      </c>
      <c r="C471" s="2">
        <v>0.6</v>
      </c>
      <c r="D471" s="2">
        <v>15</v>
      </c>
      <c r="E471" s="2">
        <v>1</v>
      </c>
      <c r="F471" s="2">
        <v>90</v>
      </c>
      <c r="G471" s="2">
        <v>0.9</v>
      </c>
      <c r="H471" s="2">
        <v>20</v>
      </c>
      <c r="I471" s="2">
        <v>1</v>
      </c>
      <c r="J471" s="2">
        <v>0</v>
      </c>
      <c r="K471">
        <f t="shared" si="49"/>
        <v>37.529978976036332</v>
      </c>
      <c r="L471">
        <f t="shared" si="50"/>
        <v>22.335440386869656</v>
      </c>
      <c r="M471">
        <f t="shared" si="51"/>
        <v>0.99999974817686499</v>
      </c>
      <c r="N471">
        <f t="shared" si="52"/>
        <v>2.518231350231451E-7</v>
      </c>
      <c r="O471">
        <f t="shared" si="53"/>
        <v>0.99999974817686499</v>
      </c>
      <c r="P471">
        <f t="shared" si="54"/>
        <v>-2.5182316671871528E-7</v>
      </c>
    </row>
    <row r="472" spans="1:16" x14ac:dyDescent="0.3">
      <c r="A472" s="2">
        <f t="shared" si="55"/>
        <v>468</v>
      </c>
      <c r="B472" s="2">
        <v>20</v>
      </c>
      <c r="C472" s="2">
        <v>0.8</v>
      </c>
      <c r="D472" s="2">
        <v>25</v>
      </c>
      <c r="E472" s="2">
        <v>1</v>
      </c>
      <c r="F472" s="2">
        <v>60</v>
      </c>
      <c r="G472" s="2">
        <v>0.9</v>
      </c>
      <c r="H472" s="2">
        <v>40</v>
      </c>
      <c r="I472" s="2">
        <v>1</v>
      </c>
      <c r="J472" s="2">
        <v>0</v>
      </c>
      <c r="K472">
        <f t="shared" si="49"/>
        <v>72.551095198034346</v>
      </c>
      <c r="L472">
        <f t="shared" si="50"/>
        <v>37.784398673725924</v>
      </c>
      <c r="M472">
        <f t="shared" si="51"/>
        <v>0.99999999999999911</v>
      </c>
      <c r="N472">
        <f t="shared" si="52"/>
        <v>7.9618784929899307E-16</v>
      </c>
      <c r="O472">
        <f t="shared" si="53"/>
        <v>0.99999999999999911</v>
      </c>
      <c r="P472">
        <f t="shared" si="54"/>
        <v>-8.8817841970012563E-16</v>
      </c>
    </row>
    <row r="473" spans="1:16" x14ac:dyDescent="0.3">
      <c r="A473" s="2">
        <f t="shared" si="55"/>
        <v>469</v>
      </c>
      <c r="B473" s="2">
        <v>25</v>
      </c>
      <c r="C473" s="2">
        <v>0.4</v>
      </c>
      <c r="D473" s="2">
        <v>20</v>
      </c>
      <c r="E473" s="2">
        <v>1</v>
      </c>
      <c r="F473" s="2">
        <v>45</v>
      </c>
      <c r="G473" s="2">
        <v>0.9</v>
      </c>
      <c r="H473" s="2">
        <v>10</v>
      </c>
      <c r="I473" s="2">
        <v>0</v>
      </c>
      <c r="J473" s="2">
        <v>1</v>
      </c>
      <c r="K473">
        <f t="shared" si="49"/>
        <v>12.395583141373463</v>
      </c>
      <c r="L473">
        <f t="shared" si="50"/>
        <v>37.358014774933686</v>
      </c>
      <c r="M473">
        <f t="shared" si="51"/>
        <v>1.441961571928868E-11</v>
      </c>
      <c r="N473">
        <f t="shared" si="52"/>
        <v>0.99999999998558031</v>
      </c>
      <c r="O473">
        <f t="shared" si="53"/>
        <v>0.99999999998558031</v>
      </c>
      <c r="P473">
        <f t="shared" si="54"/>
        <v>-1.4419687666237959E-11</v>
      </c>
    </row>
    <row r="474" spans="1:16" x14ac:dyDescent="0.3">
      <c r="A474" s="2">
        <f t="shared" si="55"/>
        <v>470</v>
      </c>
      <c r="B474" s="2">
        <v>15</v>
      </c>
      <c r="C474" s="2">
        <v>0.6</v>
      </c>
      <c r="D474" s="2">
        <v>15</v>
      </c>
      <c r="E474" s="2">
        <v>1</v>
      </c>
      <c r="F474" s="2">
        <v>90</v>
      </c>
      <c r="G474" s="2">
        <v>0.8</v>
      </c>
      <c r="H474" s="2">
        <v>40</v>
      </c>
      <c r="I474" s="2">
        <v>1</v>
      </c>
      <c r="J474" s="2">
        <v>0</v>
      </c>
      <c r="K474">
        <f t="shared" si="49"/>
        <v>77.778437692453977</v>
      </c>
      <c r="L474">
        <f t="shared" si="50"/>
        <v>22.335440386869656</v>
      </c>
      <c r="M474">
        <f t="shared" si="51"/>
        <v>1</v>
      </c>
      <c r="N474">
        <f t="shared" si="52"/>
        <v>8.3447284760844041E-25</v>
      </c>
      <c r="O474">
        <f t="shared" si="53"/>
        <v>1</v>
      </c>
      <c r="P474">
        <f t="shared" si="54"/>
        <v>0</v>
      </c>
    </row>
    <row r="475" spans="1:16" x14ac:dyDescent="0.3">
      <c r="A475" s="2">
        <f t="shared" si="55"/>
        <v>471</v>
      </c>
      <c r="B475" s="2">
        <v>15</v>
      </c>
      <c r="C475" s="2">
        <v>0.4</v>
      </c>
      <c r="D475" s="2">
        <v>15</v>
      </c>
      <c r="E475" s="2">
        <v>1</v>
      </c>
      <c r="F475" s="2">
        <v>90</v>
      </c>
      <c r="G475" s="2">
        <v>1</v>
      </c>
      <c r="H475" s="2">
        <v>40</v>
      </c>
      <c r="I475" s="2">
        <v>1</v>
      </c>
      <c r="J475" s="2">
        <v>0</v>
      </c>
      <c r="K475">
        <f t="shared" si="49"/>
        <v>74.947590427278556</v>
      </c>
      <c r="L475">
        <f t="shared" si="50"/>
        <v>25.884992737241895</v>
      </c>
      <c r="M475">
        <f t="shared" si="51"/>
        <v>1</v>
      </c>
      <c r="N475">
        <f t="shared" si="52"/>
        <v>4.9247541560870045E-22</v>
      </c>
      <c r="O475">
        <f t="shared" si="53"/>
        <v>1</v>
      </c>
      <c r="P475">
        <f t="shared" si="54"/>
        <v>0</v>
      </c>
    </row>
    <row r="476" spans="1:16" x14ac:dyDescent="0.3">
      <c r="A476" s="2">
        <f t="shared" si="55"/>
        <v>472</v>
      </c>
      <c r="B476" s="2">
        <v>15</v>
      </c>
      <c r="C476" s="2">
        <v>0.6</v>
      </c>
      <c r="D476" s="2">
        <v>25</v>
      </c>
      <c r="E476" s="2">
        <v>1</v>
      </c>
      <c r="F476" s="2">
        <v>60</v>
      </c>
      <c r="G476" s="2">
        <v>1</v>
      </c>
      <c r="H476" s="2">
        <v>10</v>
      </c>
      <c r="I476" s="2">
        <v>0</v>
      </c>
      <c r="J476" s="2">
        <v>1</v>
      </c>
      <c r="K476">
        <f t="shared" si="49"/>
        <v>12.886118939701717</v>
      </c>
      <c r="L476">
        <f t="shared" si="50"/>
        <v>40.018106544713142</v>
      </c>
      <c r="M476">
        <f t="shared" si="51"/>
        <v>1.6471285693767754E-12</v>
      </c>
      <c r="N476">
        <f t="shared" si="52"/>
        <v>0.99999999999835287</v>
      </c>
      <c r="O476">
        <f t="shared" si="53"/>
        <v>0.99999999999835287</v>
      </c>
      <c r="P476">
        <f t="shared" si="54"/>
        <v>-1.6471268793352387E-12</v>
      </c>
    </row>
    <row r="477" spans="1:16" x14ac:dyDescent="0.3">
      <c r="A477" s="2">
        <f t="shared" si="55"/>
        <v>473</v>
      </c>
      <c r="B477" s="2">
        <v>20</v>
      </c>
      <c r="C477" s="2">
        <v>0.8</v>
      </c>
      <c r="D477" s="2">
        <v>25</v>
      </c>
      <c r="E477" s="2">
        <v>1</v>
      </c>
      <c r="F477" s="2">
        <v>60</v>
      </c>
      <c r="G477" s="2">
        <v>0.8</v>
      </c>
      <c r="H477" s="2">
        <v>40</v>
      </c>
      <c r="I477" s="2">
        <v>1</v>
      </c>
      <c r="J477" s="2">
        <v>0</v>
      </c>
      <c r="K477">
        <f t="shared" si="49"/>
        <v>73.96651883062205</v>
      </c>
      <c r="L477">
        <f t="shared" si="50"/>
        <v>37.784398673725924</v>
      </c>
      <c r="M477">
        <f t="shared" si="51"/>
        <v>0.99999999999999989</v>
      </c>
      <c r="N477">
        <f t="shared" si="52"/>
        <v>1.9333250241249156E-16</v>
      </c>
      <c r="O477">
        <f t="shared" si="53"/>
        <v>0.99999999999999989</v>
      </c>
      <c r="P477">
        <f t="shared" si="54"/>
        <v>-1.1102230246251565E-16</v>
      </c>
    </row>
    <row r="478" spans="1:16" x14ac:dyDescent="0.3">
      <c r="A478" s="2">
        <f t="shared" si="55"/>
        <v>474</v>
      </c>
      <c r="B478" s="2">
        <v>15</v>
      </c>
      <c r="C478" s="2">
        <v>0.6</v>
      </c>
      <c r="D478" s="2">
        <v>25</v>
      </c>
      <c r="E478" s="2">
        <v>1</v>
      </c>
      <c r="F478" s="2">
        <v>60</v>
      </c>
      <c r="G478" s="2">
        <v>0.8</v>
      </c>
      <c r="H478" s="2">
        <v>20</v>
      </c>
      <c r="I478" s="2">
        <v>0</v>
      </c>
      <c r="J478" s="2">
        <v>1</v>
      </c>
      <c r="K478">
        <f t="shared" si="49"/>
        <v>35.133483746792109</v>
      </c>
      <c r="L478">
        <f t="shared" si="50"/>
        <v>40.018106544713142</v>
      </c>
      <c r="M478">
        <f t="shared" si="51"/>
        <v>7.5052213164728898E-3</v>
      </c>
      <c r="N478">
        <f t="shared" si="52"/>
        <v>0.9924947786835272</v>
      </c>
      <c r="O478">
        <f t="shared" si="53"/>
        <v>0.9924947786835272</v>
      </c>
      <c r="P478">
        <f t="shared" si="54"/>
        <v>-7.533527206894269E-3</v>
      </c>
    </row>
    <row r="479" spans="1:16" x14ac:dyDescent="0.3">
      <c r="A479" s="2">
        <f t="shared" si="55"/>
        <v>475</v>
      </c>
      <c r="B479" s="2">
        <v>15</v>
      </c>
      <c r="C479" s="2">
        <v>0.8</v>
      </c>
      <c r="D479" s="2">
        <v>20</v>
      </c>
      <c r="E479" s="2">
        <v>1</v>
      </c>
      <c r="F479" s="2">
        <v>90</v>
      </c>
      <c r="G479" s="2">
        <v>0.8</v>
      </c>
      <c r="H479" s="2">
        <v>40</v>
      </c>
      <c r="I479" s="2">
        <v>1</v>
      </c>
      <c r="J479" s="2">
        <v>0</v>
      </c>
      <c r="K479">
        <f t="shared" si="49"/>
        <v>77.778437692453977</v>
      </c>
      <c r="L479">
        <f t="shared" si="50"/>
        <v>27.627221115419157</v>
      </c>
      <c r="M479">
        <f t="shared" si="51"/>
        <v>1</v>
      </c>
      <c r="N479">
        <f t="shared" si="52"/>
        <v>1.65807197885912E-22</v>
      </c>
      <c r="O479">
        <f t="shared" si="53"/>
        <v>1</v>
      </c>
      <c r="P479">
        <f t="shared" si="54"/>
        <v>0</v>
      </c>
    </row>
    <row r="480" spans="1:16" x14ac:dyDescent="0.3">
      <c r="A480" s="2">
        <f t="shared" si="55"/>
        <v>476</v>
      </c>
      <c r="B480" s="2">
        <v>25</v>
      </c>
      <c r="C480" s="2">
        <v>0.8</v>
      </c>
      <c r="D480" s="2">
        <v>25</v>
      </c>
      <c r="E480" s="2">
        <v>1</v>
      </c>
      <c r="F480" s="2">
        <v>60</v>
      </c>
      <c r="G480" s="2">
        <v>0.9</v>
      </c>
      <c r="H480" s="2">
        <v>40</v>
      </c>
      <c r="I480" s="2">
        <v>1</v>
      </c>
      <c r="J480" s="2">
        <v>0</v>
      </c>
      <c r="K480">
        <f t="shared" si="49"/>
        <v>72.551095198034346</v>
      </c>
      <c r="L480">
        <f t="shared" si="50"/>
        <v>39.100243153110959</v>
      </c>
      <c r="M480">
        <f t="shared" si="51"/>
        <v>0.99999999999999711</v>
      </c>
      <c r="N480">
        <f t="shared" si="52"/>
        <v>2.9681069231825802E-15</v>
      </c>
      <c r="O480">
        <f t="shared" si="53"/>
        <v>0.99999999999999711</v>
      </c>
      <c r="P480">
        <f t="shared" si="54"/>
        <v>-2.8865798640254113E-15</v>
      </c>
    </row>
    <row r="481" spans="1:16" x14ac:dyDescent="0.3">
      <c r="A481" s="2">
        <f t="shared" si="55"/>
        <v>477</v>
      </c>
      <c r="B481" s="2">
        <v>25</v>
      </c>
      <c r="C481" s="2">
        <v>0.6</v>
      </c>
      <c r="D481" s="2">
        <v>20</v>
      </c>
      <c r="E481" s="2">
        <v>1</v>
      </c>
      <c r="F481" s="2">
        <v>60</v>
      </c>
      <c r="G481" s="2">
        <v>1</v>
      </c>
      <c r="H481" s="2">
        <v>10</v>
      </c>
      <c r="I481" s="2">
        <v>0</v>
      </c>
      <c r="J481" s="2">
        <v>1</v>
      </c>
      <c r="K481">
        <f t="shared" si="49"/>
        <v>12.886118939701717</v>
      </c>
      <c r="L481">
        <f t="shared" si="50"/>
        <v>33.808462424561448</v>
      </c>
      <c r="M481">
        <f t="shared" si="51"/>
        <v>8.1948625879283983E-10</v>
      </c>
      <c r="N481">
        <f t="shared" si="52"/>
        <v>0.99999999918051374</v>
      </c>
      <c r="O481">
        <f t="shared" si="53"/>
        <v>0.99999999918051374</v>
      </c>
      <c r="P481">
        <f t="shared" si="54"/>
        <v>-8.1948625696708657E-10</v>
      </c>
    </row>
    <row r="482" spans="1:16" x14ac:dyDescent="0.3">
      <c r="A482" s="2">
        <f t="shared" si="55"/>
        <v>478</v>
      </c>
      <c r="B482" s="2">
        <v>20</v>
      </c>
      <c r="C482" s="2">
        <v>0.6</v>
      </c>
      <c r="D482" s="2">
        <v>20</v>
      </c>
      <c r="E482" s="2">
        <v>1</v>
      </c>
      <c r="F482" s="2">
        <v>60</v>
      </c>
      <c r="G482" s="2">
        <v>1</v>
      </c>
      <c r="H482" s="2">
        <v>40</v>
      </c>
      <c r="I482" s="2">
        <v>1</v>
      </c>
      <c r="J482" s="2">
        <v>0</v>
      </c>
      <c r="K482">
        <f t="shared" si="49"/>
        <v>71.135671565446629</v>
      </c>
      <c r="L482">
        <f t="shared" si="50"/>
        <v>32.49261794517642</v>
      </c>
      <c r="M482">
        <f t="shared" si="51"/>
        <v>1</v>
      </c>
      <c r="N482">
        <f t="shared" si="52"/>
        <v>1.6501941714056443E-17</v>
      </c>
      <c r="O482">
        <f t="shared" si="53"/>
        <v>1</v>
      </c>
      <c r="P482">
        <f t="shared" si="54"/>
        <v>0</v>
      </c>
    </row>
    <row r="483" spans="1:16" x14ac:dyDescent="0.3">
      <c r="A483" s="2">
        <f t="shared" si="55"/>
        <v>479</v>
      </c>
      <c r="B483" s="2">
        <v>15</v>
      </c>
      <c r="C483" s="2">
        <v>0.8</v>
      </c>
      <c r="D483" s="2">
        <v>25</v>
      </c>
      <c r="E483" s="2">
        <v>1</v>
      </c>
      <c r="F483" s="2">
        <v>45</v>
      </c>
      <c r="G483" s="2">
        <v>0.8</v>
      </c>
      <c r="H483" s="2">
        <v>20</v>
      </c>
      <c r="I483" s="2">
        <v>0</v>
      </c>
      <c r="J483" s="2">
        <v>1</v>
      </c>
      <c r="K483">
        <f t="shared" si="49"/>
        <v>33.227524315876146</v>
      </c>
      <c r="L483">
        <f t="shared" si="50"/>
        <v>36.468554194340904</v>
      </c>
      <c r="M483">
        <f t="shared" si="51"/>
        <v>3.7650557156219656E-2</v>
      </c>
      <c r="N483">
        <f t="shared" si="52"/>
        <v>0.96234944284378032</v>
      </c>
      <c r="O483">
        <f t="shared" si="53"/>
        <v>0.96234944284378032</v>
      </c>
      <c r="P483">
        <f t="shared" si="54"/>
        <v>-3.8377648075003226E-2</v>
      </c>
    </row>
    <row r="484" spans="1:16" x14ac:dyDescent="0.3">
      <c r="A484" s="2">
        <f t="shared" si="55"/>
        <v>480</v>
      </c>
      <c r="B484" s="2">
        <v>20</v>
      </c>
      <c r="C484" s="2">
        <v>0.4</v>
      </c>
      <c r="D484" s="2">
        <v>20</v>
      </c>
      <c r="E484" s="2">
        <v>1</v>
      </c>
      <c r="F484" s="2">
        <v>45</v>
      </c>
      <c r="G484" s="2">
        <v>0.9</v>
      </c>
      <c r="H484" s="2">
        <v>40</v>
      </c>
      <c r="I484" s="2">
        <v>1</v>
      </c>
      <c r="J484" s="2">
        <v>0</v>
      </c>
      <c r="K484">
        <f t="shared" si="49"/>
        <v>70.645135767118376</v>
      </c>
      <c r="L484">
        <f t="shared" si="50"/>
        <v>36.042170295548658</v>
      </c>
      <c r="M484">
        <f t="shared" si="51"/>
        <v>0.99999999999999911</v>
      </c>
      <c r="N484">
        <f t="shared" si="52"/>
        <v>9.3782766144503632E-16</v>
      </c>
      <c r="O484">
        <f t="shared" si="53"/>
        <v>0.99999999999999911</v>
      </c>
      <c r="P484">
        <f t="shared" si="54"/>
        <v>-8.8817841970012563E-16</v>
      </c>
    </row>
    <row r="485" spans="1:16" x14ac:dyDescent="0.3">
      <c r="A485" s="2">
        <f t="shared" si="55"/>
        <v>481</v>
      </c>
      <c r="B485" s="2">
        <v>20</v>
      </c>
      <c r="C485" s="2">
        <v>0.4</v>
      </c>
      <c r="D485" s="2">
        <v>20</v>
      </c>
      <c r="E485" s="2">
        <v>1</v>
      </c>
      <c r="F485" s="2">
        <v>90</v>
      </c>
      <c r="G485" s="2">
        <v>1</v>
      </c>
      <c r="H485" s="2">
        <v>10</v>
      </c>
      <c r="I485" s="2">
        <v>0</v>
      </c>
      <c r="J485" s="2">
        <v>1</v>
      </c>
      <c r="K485">
        <f t="shared" si="49"/>
        <v>16.698037801533648</v>
      </c>
      <c r="L485">
        <f t="shared" si="50"/>
        <v>36.042170295548658</v>
      </c>
      <c r="M485">
        <f t="shared" si="51"/>
        <v>3.9714582274619936E-9</v>
      </c>
      <c r="N485">
        <f t="shared" si="52"/>
        <v>0.99999999602854184</v>
      </c>
      <c r="O485">
        <f t="shared" si="53"/>
        <v>0.99999999602854184</v>
      </c>
      <c r="P485">
        <f t="shared" si="54"/>
        <v>-3.971458170219148E-9</v>
      </c>
    </row>
    <row r="486" spans="1:16" x14ac:dyDescent="0.3">
      <c r="A486" s="2">
        <f t="shared" si="55"/>
        <v>482</v>
      </c>
      <c r="B486" s="2">
        <v>15</v>
      </c>
      <c r="C486" s="2">
        <v>0.6</v>
      </c>
      <c r="D486" s="2">
        <v>15</v>
      </c>
      <c r="E486" s="2">
        <v>1</v>
      </c>
      <c r="F486" s="2">
        <v>90</v>
      </c>
      <c r="G486" s="2">
        <v>0.8</v>
      </c>
      <c r="H486" s="2">
        <v>20</v>
      </c>
      <c r="I486" s="2">
        <v>1</v>
      </c>
      <c r="J486" s="2">
        <v>0</v>
      </c>
      <c r="K486">
        <f t="shared" si="49"/>
        <v>38.945402608624036</v>
      </c>
      <c r="L486">
        <f t="shared" si="50"/>
        <v>22.335440386869656</v>
      </c>
      <c r="M486">
        <f t="shared" si="51"/>
        <v>0.99999993885160876</v>
      </c>
      <c r="N486">
        <f t="shared" si="52"/>
        <v>6.1148391281485699E-8</v>
      </c>
      <c r="O486">
        <f t="shared" si="53"/>
        <v>0.99999993885160876</v>
      </c>
      <c r="P486">
        <f t="shared" si="54"/>
        <v>-6.1148393108948047E-8</v>
      </c>
    </row>
    <row r="487" spans="1:16" x14ac:dyDescent="0.3">
      <c r="A487" s="2">
        <f t="shared" si="55"/>
        <v>483</v>
      </c>
      <c r="B487" s="2">
        <v>25</v>
      </c>
      <c r="C487" s="2">
        <v>0.4</v>
      </c>
      <c r="D487" s="2">
        <v>20</v>
      </c>
      <c r="E487" s="2">
        <v>1</v>
      </c>
      <c r="F487" s="2">
        <v>60</v>
      </c>
      <c r="G487" s="2">
        <v>0.9</v>
      </c>
      <c r="H487" s="2">
        <v>20</v>
      </c>
      <c r="I487" s="2">
        <v>0</v>
      </c>
      <c r="J487" s="2">
        <v>1</v>
      </c>
      <c r="K487">
        <f t="shared" si="49"/>
        <v>33.718060114204398</v>
      </c>
      <c r="L487">
        <f t="shared" si="50"/>
        <v>37.358014774933686</v>
      </c>
      <c r="M487">
        <f t="shared" si="51"/>
        <v>2.5581918481639817E-2</v>
      </c>
      <c r="N487">
        <f t="shared" si="52"/>
        <v>0.97441808151836018</v>
      </c>
      <c r="O487">
        <f t="shared" si="53"/>
        <v>0.97441808151836018</v>
      </c>
      <c r="P487">
        <f t="shared" si="54"/>
        <v>-2.5914825632213829E-2</v>
      </c>
    </row>
    <row r="488" spans="1:16" x14ac:dyDescent="0.3">
      <c r="A488" s="2">
        <f t="shared" si="55"/>
        <v>484</v>
      </c>
      <c r="B488" s="2">
        <v>15</v>
      </c>
      <c r="C488" s="2">
        <v>0.4</v>
      </c>
      <c r="D488" s="2">
        <v>25</v>
      </c>
      <c r="E488" s="2">
        <v>1</v>
      </c>
      <c r="F488" s="2">
        <v>60</v>
      </c>
      <c r="G488" s="2">
        <v>1</v>
      </c>
      <c r="H488" s="2">
        <v>20</v>
      </c>
      <c r="I488" s="2">
        <v>0</v>
      </c>
      <c r="J488" s="2">
        <v>1</v>
      </c>
      <c r="K488">
        <f t="shared" si="49"/>
        <v>32.302636481616688</v>
      </c>
      <c r="L488">
        <f t="shared" si="50"/>
        <v>43.567658895085373</v>
      </c>
      <c r="M488">
        <f t="shared" si="51"/>
        <v>1.2813192845983381E-5</v>
      </c>
      <c r="N488">
        <f t="shared" si="52"/>
        <v>0.99998718680715404</v>
      </c>
      <c r="O488">
        <f t="shared" si="53"/>
        <v>0.99998718680715404</v>
      </c>
      <c r="P488">
        <f t="shared" si="54"/>
        <v>-1.2813274935618504E-5</v>
      </c>
    </row>
    <row r="489" spans="1:16" x14ac:dyDescent="0.3">
      <c r="A489" s="2">
        <f t="shared" si="55"/>
        <v>485</v>
      </c>
      <c r="B489" s="2">
        <v>25</v>
      </c>
      <c r="C489" s="2">
        <v>0.8</v>
      </c>
      <c r="D489" s="2">
        <v>15</v>
      </c>
      <c r="E489" s="2">
        <v>1</v>
      </c>
      <c r="F489" s="2">
        <v>60</v>
      </c>
      <c r="G489" s="2">
        <v>0.8</v>
      </c>
      <c r="H489" s="2">
        <v>10</v>
      </c>
      <c r="I489" s="2">
        <v>0</v>
      </c>
      <c r="J489" s="2">
        <v>1</v>
      </c>
      <c r="K489">
        <f t="shared" si="49"/>
        <v>15.716966204877139</v>
      </c>
      <c r="L489">
        <f t="shared" si="50"/>
        <v>21.417576995267474</v>
      </c>
      <c r="M489">
        <f t="shared" si="51"/>
        <v>3.3327778474361806E-3</v>
      </c>
      <c r="N489">
        <f t="shared" si="52"/>
        <v>0.99666722215256387</v>
      </c>
      <c r="O489">
        <f t="shared" si="53"/>
        <v>0.99666722215256387</v>
      </c>
      <c r="P489">
        <f t="shared" si="54"/>
        <v>-3.3383439219603801E-3</v>
      </c>
    </row>
    <row r="490" spans="1:16" x14ac:dyDescent="0.3">
      <c r="A490" s="2">
        <f t="shared" si="55"/>
        <v>486</v>
      </c>
      <c r="B490" s="2">
        <v>20</v>
      </c>
      <c r="C490" s="2">
        <v>0.4</v>
      </c>
      <c r="D490" s="2">
        <v>25</v>
      </c>
      <c r="E490" s="2">
        <v>1</v>
      </c>
      <c r="F490" s="2">
        <v>45</v>
      </c>
      <c r="G490" s="2">
        <v>0.8</v>
      </c>
      <c r="H490" s="2">
        <v>10</v>
      </c>
      <c r="I490" s="2">
        <v>0</v>
      </c>
      <c r="J490" s="2">
        <v>1</v>
      </c>
      <c r="K490">
        <f t="shared" si="49"/>
        <v>13.811006773961173</v>
      </c>
      <c r="L490">
        <f t="shared" si="50"/>
        <v>44.883503374470401</v>
      </c>
      <c r="M490">
        <f t="shared" si="51"/>
        <v>3.2017409265201782E-14</v>
      </c>
      <c r="N490">
        <f t="shared" si="52"/>
        <v>0.99999999999996803</v>
      </c>
      <c r="O490">
        <f t="shared" si="53"/>
        <v>0.99999999999996803</v>
      </c>
      <c r="P490">
        <f t="shared" si="54"/>
        <v>-3.197442310920502E-14</v>
      </c>
    </row>
    <row r="491" spans="1:16" x14ac:dyDescent="0.3">
      <c r="A491" s="2">
        <f t="shared" si="55"/>
        <v>487</v>
      </c>
      <c r="B491" s="2">
        <v>25</v>
      </c>
      <c r="C491" s="2">
        <v>0.6</v>
      </c>
      <c r="D491" s="2">
        <v>20</v>
      </c>
      <c r="E491" s="2">
        <v>1</v>
      </c>
      <c r="F491" s="2">
        <v>90</v>
      </c>
      <c r="G491" s="2">
        <v>0.9</v>
      </c>
      <c r="H491" s="2">
        <v>20</v>
      </c>
      <c r="I491" s="2">
        <v>1</v>
      </c>
      <c r="J491" s="2">
        <v>0</v>
      </c>
      <c r="K491">
        <f t="shared" si="49"/>
        <v>37.529978976036332</v>
      </c>
      <c r="L491">
        <f t="shared" si="50"/>
        <v>33.808462424561448</v>
      </c>
      <c r="M491">
        <f t="shared" si="51"/>
        <v>0.97637443003251501</v>
      </c>
      <c r="N491">
        <f t="shared" si="52"/>
        <v>2.3625569967485011E-2</v>
      </c>
      <c r="O491">
        <f t="shared" si="53"/>
        <v>0.97637443003251501</v>
      </c>
      <c r="P491">
        <f t="shared" si="54"/>
        <v>-2.3909128810632386E-2</v>
      </c>
    </row>
    <row r="492" spans="1:16" x14ac:dyDescent="0.3">
      <c r="A492" s="2">
        <f t="shared" si="55"/>
        <v>488</v>
      </c>
      <c r="B492" s="2">
        <v>25</v>
      </c>
      <c r="C492" s="2">
        <v>0.4</v>
      </c>
      <c r="D492" s="2">
        <v>25</v>
      </c>
      <c r="E492" s="2">
        <v>1</v>
      </c>
      <c r="F492" s="2">
        <v>45</v>
      </c>
      <c r="G492" s="2">
        <v>0.8</v>
      </c>
      <c r="H492" s="2">
        <v>40</v>
      </c>
      <c r="I492" s="2">
        <v>1</v>
      </c>
      <c r="J492" s="2">
        <v>0</v>
      </c>
      <c r="K492">
        <f t="shared" si="49"/>
        <v>72.060559399706079</v>
      </c>
      <c r="L492">
        <f t="shared" si="50"/>
        <v>46.199347853855429</v>
      </c>
      <c r="M492">
        <f t="shared" si="51"/>
        <v>0.99999999999413036</v>
      </c>
      <c r="N492">
        <f t="shared" si="52"/>
        <v>5.8697354816421147E-12</v>
      </c>
      <c r="O492">
        <f t="shared" si="53"/>
        <v>0.99999999999413036</v>
      </c>
      <c r="P492">
        <f t="shared" si="54"/>
        <v>-5.8696381089079663E-12</v>
      </c>
    </row>
    <row r="493" spans="1:16" x14ac:dyDescent="0.3">
      <c r="A493" s="2">
        <f t="shared" si="55"/>
        <v>489</v>
      </c>
      <c r="B493" s="2">
        <v>25</v>
      </c>
      <c r="C493" s="2">
        <v>0.6</v>
      </c>
      <c r="D493" s="2">
        <v>15</v>
      </c>
      <c r="E493" s="2">
        <v>1</v>
      </c>
      <c r="F493" s="2">
        <v>90</v>
      </c>
      <c r="G493" s="2">
        <v>1</v>
      </c>
      <c r="H493" s="2">
        <v>10</v>
      </c>
      <c r="I493" s="2">
        <v>0</v>
      </c>
      <c r="J493" s="2">
        <v>1</v>
      </c>
      <c r="K493">
        <f t="shared" si="49"/>
        <v>16.698037801533648</v>
      </c>
      <c r="L493">
        <f t="shared" si="50"/>
        <v>24.967129345639712</v>
      </c>
      <c r="M493">
        <f t="shared" si="51"/>
        <v>2.5625235705222811E-4</v>
      </c>
      <c r="N493">
        <f t="shared" si="52"/>
        <v>0.99974374764294771</v>
      </c>
      <c r="O493">
        <f t="shared" si="53"/>
        <v>0.99974374764294771</v>
      </c>
      <c r="P493">
        <f t="shared" si="54"/>
        <v>-2.5628519529757475E-4</v>
      </c>
    </row>
    <row r="494" spans="1:16" x14ac:dyDescent="0.3">
      <c r="A494" s="2">
        <f t="shared" si="55"/>
        <v>490</v>
      </c>
      <c r="B494" s="2">
        <v>25</v>
      </c>
      <c r="C494" s="2">
        <v>0.8</v>
      </c>
      <c r="D494" s="2">
        <v>25</v>
      </c>
      <c r="E494" s="2">
        <v>1</v>
      </c>
      <c r="F494" s="2">
        <v>60</v>
      </c>
      <c r="G494" s="2">
        <v>1</v>
      </c>
      <c r="H494" s="2">
        <v>40</v>
      </c>
      <c r="I494" s="2">
        <v>1</v>
      </c>
      <c r="J494" s="2">
        <v>0</v>
      </c>
      <c r="K494">
        <f t="shared" si="49"/>
        <v>71.135671565446629</v>
      </c>
      <c r="L494">
        <f t="shared" si="50"/>
        <v>39.100243153110959</v>
      </c>
      <c r="M494">
        <f t="shared" si="51"/>
        <v>0.99999999999998779</v>
      </c>
      <c r="N494">
        <f t="shared" si="52"/>
        <v>1.2223349091174412E-14</v>
      </c>
      <c r="O494">
        <f t="shared" si="53"/>
        <v>0.99999999999998779</v>
      </c>
      <c r="P494">
        <f t="shared" si="54"/>
        <v>-1.2212453270876796E-14</v>
      </c>
    </row>
    <row r="495" spans="1:16" x14ac:dyDescent="0.3">
      <c r="A495" s="2">
        <f t="shared" si="55"/>
        <v>491</v>
      </c>
      <c r="B495" s="2">
        <v>20</v>
      </c>
      <c r="C495" s="2">
        <v>0.4</v>
      </c>
      <c r="D495" s="2">
        <v>20</v>
      </c>
      <c r="E495" s="2">
        <v>1</v>
      </c>
      <c r="F495" s="2">
        <v>60</v>
      </c>
      <c r="G495" s="2">
        <v>0.9</v>
      </c>
      <c r="H495" s="2">
        <v>20</v>
      </c>
      <c r="I495" s="2">
        <v>0</v>
      </c>
      <c r="J495" s="2">
        <v>1</v>
      </c>
      <c r="K495">
        <f t="shared" si="49"/>
        <v>33.718060114204398</v>
      </c>
      <c r="L495">
        <f t="shared" si="50"/>
        <v>36.042170295548658</v>
      </c>
      <c r="M495">
        <f t="shared" si="51"/>
        <v>8.9145753522598167E-2</v>
      </c>
      <c r="N495">
        <f t="shared" si="52"/>
        <v>0.91085424647740187</v>
      </c>
      <c r="O495">
        <f t="shared" si="53"/>
        <v>0.91085424647740187</v>
      </c>
      <c r="P495">
        <f t="shared" si="54"/>
        <v>-9.337238741219582E-2</v>
      </c>
    </row>
    <row r="496" spans="1:16" x14ac:dyDescent="0.3">
      <c r="A496" s="2">
        <f t="shared" si="55"/>
        <v>492</v>
      </c>
      <c r="B496" s="2">
        <v>15</v>
      </c>
      <c r="C496" s="2">
        <v>0.6</v>
      </c>
      <c r="D496" s="2">
        <v>15</v>
      </c>
      <c r="E496" s="2">
        <v>1</v>
      </c>
      <c r="F496" s="2">
        <v>60</v>
      </c>
      <c r="G496" s="2">
        <v>1</v>
      </c>
      <c r="H496" s="2">
        <v>40</v>
      </c>
      <c r="I496" s="2">
        <v>1</v>
      </c>
      <c r="J496" s="2">
        <v>0</v>
      </c>
      <c r="K496">
        <f t="shared" si="49"/>
        <v>71.135671565446629</v>
      </c>
      <c r="L496">
        <f t="shared" si="50"/>
        <v>22.335440386869656</v>
      </c>
      <c r="M496">
        <f t="shared" si="51"/>
        <v>1</v>
      </c>
      <c r="N496">
        <f t="shared" si="52"/>
        <v>6.4021947885786832E-22</v>
      </c>
      <c r="O496">
        <f t="shared" si="53"/>
        <v>1</v>
      </c>
      <c r="P496">
        <f t="shared" si="54"/>
        <v>0</v>
      </c>
    </row>
    <row r="497" spans="1:16" x14ac:dyDescent="0.3">
      <c r="A497" s="2">
        <f t="shared" si="55"/>
        <v>493</v>
      </c>
      <c r="B497" s="2">
        <v>15</v>
      </c>
      <c r="C497" s="2">
        <v>0.4</v>
      </c>
      <c r="D497" s="2">
        <v>25</v>
      </c>
      <c r="E497" s="2">
        <v>1</v>
      </c>
      <c r="F497" s="2">
        <v>60</v>
      </c>
      <c r="G497" s="2">
        <v>0.9</v>
      </c>
      <c r="H497" s="2">
        <v>10</v>
      </c>
      <c r="I497" s="2">
        <v>0</v>
      </c>
      <c r="J497" s="2">
        <v>1</v>
      </c>
      <c r="K497">
        <f t="shared" si="49"/>
        <v>14.301542572289428</v>
      </c>
      <c r="L497">
        <f t="shared" si="50"/>
        <v>43.567658895085373</v>
      </c>
      <c r="M497">
        <f t="shared" si="51"/>
        <v>1.9493381137811154E-13</v>
      </c>
      <c r="N497">
        <f t="shared" si="52"/>
        <v>0.99999999999980504</v>
      </c>
      <c r="O497">
        <f t="shared" si="53"/>
        <v>0.99999999999980504</v>
      </c>
      <c r="P497">
        <f t="shared" si="54"/>
        <v>-1.949551631241965E-13</v>
      </c>
    </row>
    <row r="498" spans="1:16" x14ac:dyDescent="0.3">
      <c r="A498" s="2">
        <f t="shared" si="55"/>
        <v>494</v>
      </c>
      <c r="B498" s="2">
        <v>15</v>
      </c>
      <c r="C498" s="2">
        <v>0.6</v>
      </c>
      <c r="D498" s="2">
        <v>25</v>
      </c>
      <c r="E498" s="2">
        <v>1</v>
      </c>
      <c r="F498" s="2">
        <v>90</v>
      </c>
      <c r="G498" s="2">
        <v>0.9</v>
      </c>
      <c r="H498" s="2">
        <v>10</v>
      </c>
      <c r="I498" s="2">
        <v>0</v>
      </c>
      <c r="J498" s="2">
        <v>1</v>
      </c>
      <c r="K498">
        <f t="shared" si="49"/>
        <v>18.113461434121358</v>
      </c>
      <c r="L498">
        <f t="shared" si="50"/>
        <v>40.018106544713142</v>
      </c>
      <c r="M498">
        <f t="shared" si="51"/>
        <v>3.0685520918959148E-10</v>
      </c>
      <c r="N498">
        <f t="shared" si="52"/>
        <v>0.99999999969314479</v>
      </c>
      <c r="O498">
        <f t="shared" si="53"/>
        <v>0.99999999969314479</v>
      </c>
      <c r="P498">
        <f t="shared" si="54"/>
        <v>-3.0685520795704186E-10</v>
      </c>
    </row>
    <row r="499" spans="1:16" x14ac:dyDescent="0.3">
      <c r="A499" s="2">
        <f t="shared" si="55"/>
        <v>495</v>
      </c>
      <c r="B499" s="2">
        <v>25</v>
      </c>
      <c r="C499" s="2">
        <v>0.6</v>
      </c>
      <c r="D499" s="2">
        <v>15</v>
      </c>
      <c r="E499" s="2">
        <v>1</v>
      </c>
      <c r="F499" s="2">
        <v>45</v>
      </c>
      <c r="G499" s="2">
        <v>1</v>
      </c>
      <c r="H499" s="2">
        <v>20</v>
      </c>
      <c r="I499" s="2">
        <v>1</v>
      </c>
      <c r="J499" s="2">
        <v>0</v>
      </c>
      <c r="K499">
        <f t="shared" si="49"/>
        <v>30.396677050700724</v>
      </c>
      <c r="L499">
        <f t="shared" si="50"/>
        <v>24.967129345639712</v>
      </c>
      <c r="M499">
        <f t="shared" si="51"/>
        <v>0.9956340662599511</v>
      </c>
      <c r="N499">
        <f t="shared" si="52"/>
        <v>4.3659337400488527E-3</v>
      </c>
      <c r="O499">
        <f t="shared" si="53"/>
        <v>0.9956340662599511</v>
      </c>
      <c r="P499">
        <f t="shared" si="54"/>
        <v>-4.3754922601495346E-3</v>
      </c>
    </row>
    <row r="500" spans="1:16" x14ac:dyDescent="0.3">
      <c r="A500" s="2">
        <f t="shared" si="55"/>
        <v>496</v>
      </c>
      <c r="B500" s="2">
        <v>25</v>
      </c>
      <c r="C500" s="2">
        <v>0.4</v>
      </c>
      <c r="D500" s="2">
        <v>15</v>
      </c>
      <c r="E500" s="2">
        <v>1</v>
      </c>
      <c r="F500" s="2">
        <v>45</v>
      </c>
      <c r="G500" s="2">
        <v>0.8</v>
      </c>
      <c r="H500" s="2">
        <v>10</v>
      </c>
      <c r="I500" s="2">
        <v>0</v>
      </c>
      <c r="J500" s="2">
        <v>1</v>
      </c>
      <c r="K500">
        <f t="shared" si="49"/>
        <v>13.811006773961173</v>
      </c>
      <c r="L500">
        <f t="shared" si="50"/>
        <v>28.51668169601195</v>
      </c>
      <c r="M500">
        <f t="shared" si="51"/>
        <v>4.1058809265876827E-7</v>
      </c>
      <c r="N500">
        <f t="shared" si="52"/>
        <v>0.99999958941190736</v>
      </c>
      <c r="O500">
        <f t="shared" si="53"/>
        <v>0.99999958941190736</v>
      </c>
      <c r="P500">
        <f t="shared" si="54"/>
        <v>-4.1058817692770206E-7</v>
      </c>
    </row>
    <row r="501" spans="1:16" x14ac:dyDescent="0.3">
      <c r="A501" s="2">
        <f t="shared" si="55"/>
        <v>497</v>
      </c>
      <c r="B501" s="2">
        <v>20</v>
      </c>
      <c r="C501" s="2">
        <v>0.4</v>
      </c>
      <c r="D501" s="2">
        <v>20</v>
      </c>
      <c r="E501" s="2">
        <v>1</v>
      </c>
      <c r="F501" s="2">
        <v>45</v>
      </c>
      <c r="G501" s="2">
        <v>0.9</v>
      </c>
      <c r="H501" s="2">
        <v>40</v>
      </c>
      <c r="I501" s="2">
        <v>1</v>
      </c>
      <c r="J501" s="2">
        <v>0</v>
      </c>
      <c r="K501">
        <f t="shared" si="49"/>
        <v>70.645135767118376</v>
      </c>
      <c r="L501">
        <f t="shared" si="50"/>
        <v>36.042170295548658</v>
      </c>
      <c r="M501">
        <f t="shared" si="51"/>
        <v>0.99999999999999911</v>
      </c>
      <c r="N501">
        <f t="shared" si="52"/>
        <v>9.3782766144503632E-16</v>
      </c>
      <c r="O501">
        <f t="shared" si="53"/>
        <v>0.99999999999999911</v>
      </c>
      <c r="P501">
        <f t="shared" si="54"/>
        <v>-8.8817841970012563E-16</v>
      </c>
    </row>
    <row r="502" spans="1:16" x14ac:dyDescent="0.3">
      <c r="A502" s="2">
        <f t="shared" si="55"/>
        <v>498</v>
      </c>
      <c r="B502" s="2">
        <v>20</v>
      </c>
      <c r="C502" s="2">
        <v>0.8</v>
      </c>
      <c r="D502" s="2">
        <v>20</v>
      </c>
      <c r="E502" s="2">
        <v>1</v>
      </c>
      <c r="F502" s="2">
        <v>45</v>
      </c>
      <c r="G502" s="2">
        <v>0.9</v>
      </c>
      <c r="H502" s="2">
        <v>40</v>
      </c>
      <c r="I502" s="2">
        <v>1</v>
      </c>
      <c r="J502" s="2">
        <v>0</v>
      </c>
      <c r="K502">
        <f t="shared" si="49"/>
        <v>70.645135767118376</v>
      </c>
      <c r="L502">
        <f t="shared" si="50"/>
        <v>28.943065594804185</v>
      </c>
      <c r="M502">
        <f t="shared" si="51"/>
        <v>1</v>
      </c>
      <c r="N502">
        <f t="shared" si="52"/>
        <v>7.7449931898542787E-19</v>
      </c>
      <c r="O502">
        <f t="shared" si="53"/>
        <v>1</v>
      </c>
      <c r="P502">
        <f t="shared" si="54"/>
        <v>0</v>
      </c>
    </row>
    <row r="503" spans="1:16" x14ac:dyDescent="0.3">
      <c r="A503" s="2">
        <f t="shared" si="55"/>
        <v>499</v>
      </c>
      <c r="B503" s="2">
        <v>20</v>
      </c>
      <c r="C503" s="2">
        <v>0.4</v>
      </c>
      <c r="D503" s="2">
        <v>25</v>
      </c>
      <c r="E503" s="2">
        <v>1</v>
      </c>
      <c r="F503" s="2">
        <v>90</v>
      </c>
      <c r="G503" s="2">
        <v>0.9</v>
      </c>
      <c r="H503" s="2">
        <v>40</v>
      </c>
      <c r="I503" s="2">
        <v>1</v>
      </c>
      <c r="J503" s="2">
        <v>0</v>
      </c>
      <c r="K503">
        <f t="shared" si="49"/>
        <v>76.363014059866273</v>
      </c>
      <c r="L503">
        <f t="shared" si="50"/>
        <v>44.883503374470401</v>
      </c>
      <c r="M503">
        <f t="shared" si="51"/>
        <v>0.99999999999997868</v>
      </c>
      <c r="N503">
        <f t="shared" si="52"/>
        <v>2.1311902288045985E-14</v>
      </c>
      <c r="O503">
        <f t="shared" si="53"/>
        <v>0.99999999999997868</v>
      </c>
      <c r="P503">
        <f t="shared" si="54"/>
        <v>-2.1316282072803233E-14</v>
      </c>
    </row>
    <row r="504" spans="1:16" x14ac:dyDescent="0.3">
      <c r="A504" s="2">
        <f t="shared" si="55"/>
        <v>500</v>
      </c>
      <c r="B504" s="2">
        <v>20</v>
      </c>
      <c r="C504" s="2">
        <v>0.4</v>
      </c>
      <c r="D504" s="2">
        <v>25</v>
      </c>
      <c r="E504" s="2">
        <v>1</v>
      </c>
      <c r="F504" s="2">
        <v>45</v>
      </c>
      <c r="G504" s="2">
        <v>0.8</v>
      </c>
      <c r="H504" s="2">
        <v>20</v>
      </c>
      <c r="I504" s="2">
        <v>0</v>
      </c>
      <c r="J504" s="2">
        <v>1</v>
      </c>
      <c r="K504">
        <f t="shared" si="49"/>
        <v>33.227524315876146</v>
      </c>
      <c r="L504">
        <f t="shared" si="50"/>
        <v>44.883503374470401</v>
      </c>
      <c r="M504">
        <f t="shared" si="51"/>
        <v>8.6670010589271347E-6</v>
      </c>
      <c r="N504">
        <f t="shared" si="52"/>
        <v>0.99999133299894116</v>
      </c>
      <c r="O504">
        <f t="shared" si="53"/>
        <v>0.99999133299894116</v>
      </c>
      <c r="P504">
        <f t="shared" si="54"/>
        <v>-8.6670386175081342E-6</v>
      </c>
    </row>
    <row r="505" spans="1:16" x14ac:dyDescent="0.3">
      <c r="A505" s="2">
        <f t="shared" si="55"/>
        <v>501</v>
      </c>
      <c r="B505" s="2">
        <v>15</v>
      </c>
      <c r="C505" s="2">
        <v>0.6</v>
      </c>
      <c r="D505" s="2">
        <v>20</v>
      </c>
      <c r="E505" s="2">
        <v>1</v>
      </c>
      <c r="F505" s="2">
        <v>45</v>
      </c>
      <c r="G505" s="2">
        <v>1</v>
      </c>
      <c r="H505" s="2">
        <v>10</v>
      </c>
      <c r="I505" s="2">
        <v>0</v>
      </c>
      <c r="J505" s="2">
        <v>1</v>
      </c>
      <c r="K505">
        <f t="shared" si="49"/>
        <v>10.980159508785752</v>
      </c>
      <c r="L505">
        <f t="shared" si="50"/>
        <v>31.176773465791396</v>
      </c>
      <c r="M505">
        <f t="shared" si="51"/>
        <v>1.6932535882285274E-9</v>
      </c>
      <c r="N505">
        <f t="shared" si="52"/>
        <v>0.99999999830674635</v>
      </c>
      <c r="O505">
        <f t="shared" si="53"/>
        <v>0.99999999830674635</v>
      </c>
      <c r="P505">
        <f t="shared" si="54"/>
        <v>-1.6932536498384451E-9</v>
      </c>
    </row>
    <row r="506" spans="1:16" x14ac:dyDescent="0.3">
      <c r="A506" s="2">
        <f t="shared" si="55"/>
        <v>502</v>
      </c>
      <c r="B506" s="2">
        <v>15</v>
      </c>
      <c r="C506" s="2">
        <v>0.6</v>
      </c>
      <c r="D506" s="2">
        <v>25</v>
      </c>
      <c r="E506" s="2">
        <v>1</v>
      </c>
      <c r="F506" s="2">
        <v>60</v>
      </c>
      <c r="G506" s="2">
        <v>0.9</v>
      </c>
      <c r="H506" s="2">
        <v>40</v>
      </c>
      <c r="I506" s="2">
        <v>1</v>
      </c>
      <c r="J506" s="2">
        <v>0</v>
      </c>
      <c r="K506">
        <f t="shared" si="49"/>
        <v>72.551095198034346</v>
      </c>
      <c r="L506">
        <f t="shared" si="50"/>
        <v>40.018106544713142</v>
      </c>
      <c r="M506">
        <f t="shared" si="51"/>
        <v>0.99999999999999256</v>
      </c>
      <c r="N506">
        <f t="shared" si="52"/>
        <v>7.4319460444550757E-15</v>
      </c>
      <c r="O506">
        <f t="shared" si="53"/>
        <v>0.99999999999999256</v>
      </c>
      <c r="P506">
        <f t="shared" si="54"/>
        <v>-7.4384942649885772E-15</v>
      </c>
    </row>
    <row r="507" spans="1:16" x14ac:dyDescent="0.3">
      <c r="A507" s="2">
        <f t="shared" si="55"/>
        <v>503</v>
      </c>
      <c r="B507" s="2">
        <v>20</v>
      </c>
      <c r="C507" s="2">
        <v>0.8</v>
      </c>
      <c r="D507" s="2">
        <v>15</v>
      </c>
      <c r="E507" s="2">
        <v>1</v>
      </c>
      <c r="F507" s="2">
        <v>45</v>
      </c>
      <c r="G507" s="2">
        <v>0.9</v>
      </c>
      <c r="H507" s="2">
        <v>20</v>
      </c>
      <c r="I507" s="2">
        <v>1</v>
      </c>
      <c r="J507" s="2">
        <v>0</v>
      </c>
      <c r="K507">
        <f t="shared" si="49"/>
        <v>31.812100683288435</v>
      </c>
      <c r="L507">
        <f t="shared" si="50"/>
        <v>20.101732515882446</v>
      </c>
      <c r="M507">
        <f t="shared" si="51"/>
        <v>0.99999179179566833</v>
      </c>
      <c r="N507">
        <f t="shared" si="52"/>
        <v>8.2082043316076201E-6</v>
      </c>
      <c r="O507">
        <f t="shared" si="53"/>
        <v>0.99999179179566833</v>
      </c>
      <c r="P507">
        <f t="shared" si="54"/>
        <v>-8.2082380191657597E-6</v>
      </c>
    </row>
    <row r="508" spans="1:16" x14ac:dyDescent="0.3">
      <c r="A508" s="2">
        <f t="shared" si="55"/>
        <v>504</v>
      </c>
      <c r="B508" s="2">
        <v>20</v>
      </c>
      <c r="C508" s="2">
        <v>0.6</v>
      </c>
      <c r="D508" s="2">
        <v>20</v>
      </c>
      <c r="E508" s="2">
        <v>1</v>
      </c>
      <c r="F508" s="2">
        <v>45</v>
      </c>
      <c r="G508" s="2">
        <v>0.9</v>
      </c>
      <c r="H508" s="2">
        <v>20</v>
      </c>
      <c r="I508" s="2">
        <v>1</v>
      </c>
      <c r="J508" s="2">
        <v>0</v>
      </c>
      <c r="K508">
        <f t="shared" si="49"/>
        <v>31.812100683288435</v>
      </c>
      <c r="L508">
        <f t="shared" si="50"/>
        <v>32.49261794517642</v>
      </c>
      <c r="M508">
        <f t="shared" si="51"/>
        <v>0.33614586488127585</v>
      </c>
      <c r="N508">
        <f t="shared" si="52"/>
        <v>0.66385413511872415</v>
      </c>
      <c r="O508">
        <f t="shared" si="53"/>
        <v>0.33614586488127585</v>
      </c>
      <c r="P508">
        <f t="shared" si="54"/>
        <v>-1.0902100915520185</v>
      </c>
    </row>
    <row r="509" spans="1:16" x14ac:dyDescent="0.3">
      <c r="A509" s="2">
        <f t="shared" si="55"/>
        <v>505</v>
      </c>
      <c r="B509" s="2">
        <v>20</v>
      </c>
      <c r="C509" s="2">
        <v>0.4</v>
      </c>
      <c r="D509" s="2">
        <v>25</v>
      </c>
      <c r="E509" s="2">
        <v>1</v>
      </c>
      <c r="F509" s="2">
        <v>60</v>
      </c>
      <c r="G509" s="2">
        <v>0.9</v>
      </c>
      <c r="H509" s="2">
        <v>20</v>
      </c>
      <c r="I509" s="2">
        <v>0</v>
      </c>
      <c r="J509" s="2">
        <v>1</v>
      </c>
      <c r="K509">
        <f t="shared" si="49"/>
        <v>33.718060114204398</v>
      </c>
      <c r="L509">
        <f t="shared" si="50"/>
        <v>44.883503374470401</v>
      </c>
      <c r="M509">
        <f t="shared" si="51"/>
        <v>1.415479085071019E-5</v>
      </c>
      <c r="N509">
        <f t="shared" si="52"/>
        <v>0.99998584520914924</v>
      </c>
      <c r="O509">
        <f t="shared" si="53"/>
        <v>0.99998584520914924</v>
      </c>
      <c r="P509">
        <f t="shared" si="54"/>
        <v>-1.4154891030759577E-5</v>
      </c>
    </row>
    <row r="510" spans="1:16" x14ac:dyDescent="0.3">
      <c r="A510" s="2">
        <f t="shared" si="55"/>
        <v>506</v>
      </c>
      <c r="B510" s="2">
        <v>20</v>
      </c>
      <c r="C510" s="2">
        <v>0.4</v>
      </c>
      <c r="D510" s="2">
        <v>20</v>
      </c>
      <c r="E510" s="2">
        <v>1</v>
      </c>
      <c r="F510" s="2">
        <v>60</v>
      </c>
      <c r="G510" s="2">
        <v>0.9</v>
      </c>
      <c r="H510" s="2">
        <v>10</v>
      </c>
      <c r="I510" s="2">
        <v>0</v>
      </c>
      <c r="J510" s="2">
        <v>1</v>
      </c>
      <c r="K510">
        <f t="shared" si="49"/>
        <v>14.301542572289428</v>
      </c>
      <c r="L510">
        <f t="shared" si="50"/>
        <v>36.042170295548658</v>
      </c>
      <c r="M510">
        <f t="shared" si="51"/>
        <v>3.6154748639990369E-10</v>
      </c>
      <c r="N510">
        <f t="shared" si="52"/>
        <v>0.99999999963845254</v>
      </c>
      <c r="O510">
        <f t="shared" si="53"/>
        <v>0.99999999963845254</v>
      </c>
      <c r="P510">
        <f t="shared" si="54"/>
        <v>-3.6154745870361438E-10</v>
      </c>
    </row>
    <row r="511" spans="1:16" x14ac:dyDescent="0.3">
      <c r="A511" s="2">
        <f t="shared" si="55"/>
        <v>507</v>
      </c>
      <c r="B511" s="2">
        <v>15</v>
      </c>
      <c r="C511" s="2">
        <v>0.4</v>
      </c>
      <c r="D511" s="2">
        <v>20</v>
      </c>
      <c r="E511" s="2">
        <v>1</v>
      </c>
      <c r="F511" s="2">
        <v>90</v>
      </c>
      <c r="G511" s="2">
        <v>1</v>
      </c>
      <c r="H511" s="2">
        <v>20</v>
      </c>
      <c r="I511" s="2">
        <v>1</v>
      </c>
      <c r="J511" s="2">
        <v>0</v>
      </c>
      <c r="K511">
        <f t="shared" si="49"/>
        <v>36.114555343448615</v>
      </c>
      <c r="L511">
        <f t="shared" si="50"/>
        <v>34.72632581616363</v>
      </c>
      <c r="M511">
        <f t="shared" si="51"/>
        <v>0.80030944684052852</v>
      </c>
      <c r="N511">
        <f t="shared" si="52"/>
        <v>0.19969055315947148</v>
      </c>
      <c r="O511">
        <f t="shared" si="53"/>
        <v>0.80030944684052852</v>
      </c>
      <c r="P511">
        <f t="shared" si="54"/>
        <v>-0.22275681755469059</v>
      </c>
    </row>
    <row r="512" spans="1:16" x14ac:dyDescent="0.3">
      <c r="A512" s="2">
        <f t="shared" si="55"/>
        <v>508</v>
      </c>
      <c r="B512" s="2">
        <v>25</v>
      </c>
      <c r="C512" s="2">
        <v>0.4</v>
      </c>
      <c r="D512" s="2">
        <v>20</v>
      </c>
      <c r="E512" s="2">
        <v>1</v>
      </c>
      <c r="F512" s="2">
        <v>60</v>
      </c>
      <c r="G512" s="2">
        <v>0.9</v>
      </c>
      <c r="H512" s="2">
        <v>10</v>
      </c>
      <c r="I512" s="2">
        <v>0</v>
      </c>
      <c r="J512" s="2">
        <v>1</v>
      </c>
      <c r="K512">
        <f t="shared" si="49"/>
        <v>14.301542572289428</v>
      </c>
      <c r="L512">
        <f t="shared" si="50"/>
        <v>37.358014774933686</v>
      </c>
      <c r="M512">
        <f t="shared" si="51"/>
        <v>9.6984280938132312E-11</v>
      </c>
      <c r="N512">
        <f t="shared" si="52"/>
        <v>0.99999999990301569</v>
      </c>
      <c r="O512">
        <f t="shared" si="53"/>
        <v>0.99999999990301569</v>
      </c>
      <c r="P512">
        <f t="shared" si="54"/>
        <v>-9.6984309476950761E-11</v>
      </c>
    </row>
    <row r="513" spans="1:16" x14ac:dyDescent="0.3">
      <c r="A513" s="2">
        <f t="shared" si="55"/>
        <v>509</v>
      </c>
      <c r="B513" s="2">
        <v>25</v>
      </c>
      <c r="C513" s="2">
        <v>0.8</v>
      </c>
      <c r="D513" s="2">
        <v>25</v>
      </c>
      <c r="E513" s="2">
        <v>1</v>
      </c>
      <c r="F513" s="2">
        <v>45</v>
      </c>
      <c r="G513" s="2">
        <v>1</v>
      </c>
      <c r="H513" s="2">
        <v>40</v>
      </c>
      <c r="I513" s="2">
        <v>1</v>
      </c>
      <c r="J513" s="2">
        <v>0</v>
      </c>
      <c r="K513">
        <f t="shared" si="49"/>
        <v>69.229712134530658</v>
      </c>
      <c r="L513">
        <f t="shared" si="50"/>
        <v>39.100243153110959</v>
      </c>
      <c r="M513">
        <f t="shared" si="51"/>
        <v>0.99999999999991784</v>
      </c>
      <c r="N513">
        <f t="shared" si="52"/>
        <v>8.2212504510460281E-14</v>
      </c>
      <c r="O513">
        <f t="shared" si="53"/>
        <v>0.99999999999991784</v>
      </c>
      <c r="P513">
        <f t="shared" si="54"/>
        <v>-8.2156503822264954E-14</v>
      </c>
    </row>
    <row r="514" spans="1:16" x14ac:dyDescent="0.3">
      <c r="A514" s="2">
        <f t="shared" si="55"/>
        <v>510</v>
      </c>
      <c r="B514" s="2">
        <v>25</v>
      </c>
      <c r="C514" s="2">
        <v>0.6</v>
      </c>
      <c r="D514" s="2">
        <v>15</v>
      </c>
      <c r="E514" s="2">
        <v>1</v>
      </c>
      <c r="F514" s="2">
        <v>90</v>
      </c>
      <c r="G514" s="2">
        <v>0.9</v>
      </c>
      <c r="H514" s="2">
        <v>10</v>
      </c>
      <c r="I514" s="2">
        <v>0</v>
      </c>
      <c r="J514" s="2">
        <v>1</v>
      </c>
      <c r="K514">
        <f t="shared" si="49"/>
        <v>18.113461434121358</v>
      </c>
      <c r="L514">
        <f t="shared" si="50"/>
        <v>24.967129345639712</v>
      </c>
      <c r="M514">
        <f t="shared" si="51"/>
        <v>1.0544637536990494E-3</v>
      </c>
      <c r="N514">
        <f t="shared" si="52"/>
        <v>0.998945536246301</v>
      </c>
      <c r="O514">
        <f t="shared" si="53"/>
        <v>0.998945536246301</v>
      </c>
      <c r="P514">
        <f t="shared" si="54"/>
        <v>-1.0550200917295075E-3</v>
      </c>
    </row>
    <row r="515" spans="1:16" x14ac:dyDescent="0.3">
      <c r="A515" s="2">
        <f t="shared" si="55"/>
        <v>511</v>
      </c>
      <c r="B515" s="2">
        <v>20</v>
      </c>
      <c r="C515" s="2">
        <v>0.6</v>
      </c>
      <c r="D515" s="2">
        <v>25</v>
      </c>
      <c r="E515" s="2">
        <v>1</v>
      </c>
      <c r="F515" s="2">
        <v>60</v>
      </c>
      <c r="G515" s="2">
        <v>0.8</v>
      </c>
      <c r="H515" s="2">
        <v>20</v>
      </c>
      <c r="I515" s="2">
        <v>0</v>
      </c>
      <c r="J515" s="2">
        <v>1</v>
      </c>
      <c r="K515">
        <f t="shared" si="49"/>
        <v>35.133483746792109</v>
      </c>
      <c r="L515">
        <f t="shared" si="50"/>
        <v>41.33395102409817</v>
      </c>
      <c r="M515">
        <f t="shared" si="51"/>
        <v>2.0243761392667601E-3</v>
      </c>
      <c r="N515">
        <f t="shared" si="52"/>
        <v>0.99797562386073324</v>
      </c>
      <c r="O515">
        <f t="shared" si="53"/>
        <v>0.99797562386073324</v>
      </c>
      <c r="P515">
        <f t="shared" si="54"/>
        <v>-2.0264279582132339E-3</v>
      </c>
    </row>
    <row r="516" spans="1:16" x14ac:dyDescent="0.3">
      <c r="A516" s="2">
        <f t="shared" si="55"/>
        <v>512</v>
      </c>
      <c r="B516" s="2">
        <v>25</v>
      </c>
      <c r="C516" s="2">
        <v>0.8</v>
      </c>
      <c r="D516" s="2">
        <v>15</v>
      </c>
      <c r="E516" s="2">
        <v>1</v>
      </c>
      <c r="F516" s="2">
        <v>90</v>
      </c>
      <c r="G516" s="2">
        <v>0.9</v>
      </c>
      <c r="H516" s="2">
        <v>40</v>
      </c>
      <c r="I516" s="2">
        <v>1</v>
      </c>
      <c r="J516" s="2">
        <v>0</v>
      </c>
      <c r="K516">
        <f t="shared" si="49"/>
        <v>76.363014059866273</v>
      </c>
      <c r="L516">
        <f t="shared" si="50"/>
        <v>21.417576995267474</v>
      </c>
      <c r="M516">
        <f t="shared" si="51"/>
        <v>1</v>
      </c>
      <c r="N516">
        <f t="shared" si="52"/>
        <v>1.3724605725622088E-24</v>
      </c>
      <c r="O516">
        <f t="shared" si="53"/>
        <v>1</v>
      </c>
      <c r="P516">
        <f t="shared" si="54"/>
        <v>0</v>
      </c>
    </row>
    <row r="517" spans="1:16" x14ac:dyDescent="0.3">
      <c r="A517" s="2">
        <f t="shared" si="55"/>
        <v>513</v>
      </c>
      <c r="B517" s="2">
        <v>15</v>
      </c>
      <c r="C517" s="2">
        <v>0.6</v>
      </c>
      <c r="D517" s="2">
        <v>25</v>
      </c>
      <c r="E517" s="2">
        <v>1</v>
      </c>
      <c r="F517" s="2">
        <v>90</v>
      </c>
      <c r="G517" s="2">
        <v>1</v>
      </c>
      <c r="H517" s="2">
        <v>20</v>
      </c>
      <c r="I517" s="2">
        <v>0</v>
      </c>
      <c r="J517" s="2">
        <v>1</v>
      </c>
      <c r="K517">
        <f t="shared" si="49"/>
        <v>36.114555343448615</v>
      </c>
      <c r="L517">
        <f t="shared" si="50"/>
        <v>40.018106544713142</v>
      </c>
      <c r="M517">
        <f t="shared" si="51"/>
        <v>1.9771364329530736E-2</v>
      </c>
      <c r="N517">
        <f t="shared" si="52"/>
        <v>0.98022863567046925</v>
      </c>
      <c r="O517">
        <f t="shared" si="53"/>
        <v>0.98022863567046925</v>
      </c>
      <c r="P517">
        <f t="shared" si="54"/>
        <v>-1.9969432823569559E-2</v>
      </c>
    </row>
    <row r="518" spans="1:16" x14ac:dyDescent="0.3">
      <c r="A518" s="2">
        <f t="shared" si="55"/>
        <v>514</v>
      </c>
      <c r="B518" s="2">
        <v>20</v>
      </c>
      <c r="C518" s="2">
        <v>0.8</v>
      </c>
      <c r="D518" s="2">
        <v>15</v>
      </c>
      <c r="E518" s="2">
        <v>1</v>
      </c>
      <c r="F518" s="2">
        <v>90</v>
      </c>
      <c r="G518" s="2">
        <v>0.8</v>
      </c>
      <c r="H518" s="2">
        <v>10</v>
      </c>
      <c r="I518" s="2">
        <v>1</v>
      </c>
      <c r="J518" s="2">
        <v>0</v>
      </c>
      <c r="K518">
        <f t="shared" ref="K518:K581" si="56">$F$3*F518+$G$3*G518+$H$3*H518</f>
        <v>19.528885066709069</v>
      </c>
      <c r="L518">
        <f t="shared" ref="L518:L581" si="57">$B$3*B518+$C$3*C518+$D$3*D518+$E$3*E518</f>
        <v>20.101732515882446</v>
      </c>
      <c r="M518">
        <f t="shared" ref="M518:M581" si="58">EXP(K518)/(EXP(K518)+EXP(L518))</f>
        <v>0.3605800507636554</v>
      </c>
      <c r="N518">
        <f t="shared" ref="N518:N581" si="59">EXP(L518)/(EXP(L518)+EXP(K518))</f>
        <v>0.63941994923634449</v>
      </c>
      <c r="O518">
        <f t="shared" ref="O518:O581" si="60">I518*M518+J518*N518</f>
        <v>0.3605800507636554</v>
      </c>
      <c r="P518">
        <f t="shared" ref="P518:P581" si="61">LN(O518)</f>
        <v>-1.0200412920847566</v>
      </c>
    </row>
    <row r="519" spans="1:16" x14ac:dyDescent="0.3">
      <c r="A519" s="2">
        <f t="shared" ref="A519:A582" si="62">A518+1</f>
        <v>515</v>
      </c>
      <c r="B519" s="2">
        <v>15</v>
      </c>
      <c r="C519" s="2">
        <v>0.4</v>
      </c>
      <c r="D519" s="2">
        <v>25</v>
      </c>
      <c r="E519" s="2">
        <v>1</v>
      </c>
      <c r="F519" s="2">
        <v>60</v>
      </c>
      <c r="G519" s="2">
        <v>0.8</v>
      </c>
      <c r="H519" s="2">
        <v>10</v>
      </c>
      <c r="I519" s="2">
        <v>0</v>
      </c>
      <c r="J519" s="2">
        <v>1</v>
      </c>
      <c r="K519">
        <f t="shared" si="56"/>
        <v>15.716966204877139</v>
      </c>
      <c r="L519">
        <f t="shared" si="57"/>
        <v>43.567658895085373</v>
      </c>
      <c r="M519">
        <f t="shared" si="58"/>
        <v>8.0278240906208371E-13</v>
      </c>
      <c r="N519">
        <f t="shared" si="59"/>
        <v>0.9999999999991972</v>
      </c>
      <c r="O519">
        <f t="shared" si="60"/>
        <v>0.9999999999991972</v>
      </c>
      <c r="P519">
        <f t="shared" si="61"/>
        <v>-8.028022691067729E-13</v>
      </c>
    </row>
    <row r="520" spans="1:16" x14ac:dyDescent="0.3">
      <c r="A520" s="2">
        <f t="shared" si="62"/>
        <v>516</v>
      </c>
      <c r="B520" s="2">
        <v>15</v>
      </c>
      <c r="C520" s="2">
        <v>0.4</v>
      </c>
      <c r="D520" s="2">
        <v>15</v>
      </c>
      <c r="E520" s="2">
        <v>1</v>
      </c>
      <c r="F520" s="2">
        <v>60</v>
      </c>
      <c r="G520" s="2">
        <v>0.9</v>
      </c>
      <c r="H520" s="2">
        <v>40</v>
      </c>
      <c r="I520" s="2">
        <v>1</v>
      </c>
      <c r="J520" s="2">
        <v>0</v>
      </c>
      <c r="K520">
        <f t="shared" si="56"/>
        <v>72.551095198034346</v>
      </c>
      <c r="L520">
        <f t="shared" si="57"/>
        <v>25.884992737241895</v>
      </c>
      <c r="M520">
        <f t="shared" si="58"/>
        <v>1</v>
      </c>
      <c r="N520">
        <f t="shared" si="59"/>
        <v>5.4096505210909017E-21</v>
      </c>
      <c r="O520">
        <f t="shared" si="60"/>
        <v>1</v>
      </c>
      <c r="P520">
        <f t="shared" si="61"/>
        <v>0</v>
      </c>
    </row>
    <row r="521" spans="1:16" x14ac:dyDescent="0.3">
      <c r="A521" s="2">
        <f t="shared" si="62"/>
        <v>517</v>
      </c>
      <c r="B521" s="2">
        <v>25</v>
      </c>
      <c r="C521" s="2">
        <v>0.6</v>
      </c>
      <c r="D521" s="2">
        <v>15</v>
      </c>
      <c r="E521" s="2">
        <v>1</v>
      </c>
      <c r="F521" s="2">
        <v>90</v>
      </c>
      <c r="G521" s="2">
        <v>0.9</v>
      </c>
      <c r="H521" s="2">
        <v>40</v>
      </c>
      <c r="I521" s="2">
        <v>1</v>
      </c>
      <c r="J521" s="2">
        <v>0</v>
      </c>
      <c r="K521">
        <f t="shared" si="56"/>
        <v>76.363014059866273</v>
      </c>
      <c r="L521">
        <f t="shared" si="57"/>
        <v>24.967129345639712</v>
      </c>
      <c r="M521">
        <f t="shared" si="58"/>
        <v>1</v>
      </c>
      <c r="N521">
        <f t="shared" si="59"/>
        <v>4.7758521781442599E-23</v>
      </c>
      <c r="O521">
        <f t="shared" si="60"/>
        <v>1</v>
      </c>
      <c r="P521">
        <f t="shared" si="61"/>
        <v>0</v>
      </c>
    </row>
    <row r="522" spans="1:16" x14ac:dyDescent="0.3">
      <c r="A522" s="2">
        <f t="shared" si="62"/>
        <v>518</v>
      </c>
      <c r="B522" s="2">
        <v>20</v>
      </c>
      <c r="C522" s="2">
        <v>0.8</v>
      </c>
      <c r="D522" s="2">
        <v>15</v>
      </c>
      <c r="E522" s="2">
        <v>1</v>
      </c>
      <c r="F522" s="2">
        <v>60</v>
      </c>
      <c r="G522" s="2">
        <v>1</v>
      </c>
      <c r="H522" s="2">
        <v>10</v>
      </c>
      <c r="I522" s="2">
        <v>0</v>
      </c>
      <c r="J522" s="2">
        <v>1</v>
      </c>
      <c r="K522">
        <f t="shared" si="56"/>
        <v>12.886118939701717</v>
      </c>
      <c r="L522">
        <f t="shared" si="57"/>
        <v>20.101732515882446</v>
      </c>
      <c r="M522">
        <f t="shared" si="58"/>
        <v>7.3447960813862172E-4</v>
      </c>
      <c r="N522">
        <f t="shared" si="59"/>
        <v>0.99926552039186145</v>
      </c>
      <c r="O522">
        <f t="shared" si="60"/>
        <v>0.99926552039186145</v>
      </c>
      <c r="P522">
        <f t="shared" si="61"/>
        <v>-7.3474947043292778E-4</v>
      </c>
    </row>
    <row r="523" spans="1:16" x14ac:dyDescent="0.3">
      <c r="A523" s="2">
        <f t="shared" si="62"/>
        <v>519</v>
      </c>
      <c r="B523" s="2">
        <v>20</v>
      </c>
      <c r="C523" s="2">
        <v>0.4</v>
      </c>
      <c r="D523" s="2">
        <v>20</v>
      </c>
      <c r="E523" s="2">
        <v>1</v>
      </c>
      <c r="F523" s="2">
        <v>45</v>
      </c>
      <c r="G523" s="2">
        <v>1</v>
      </c>
      <c r="H523" s="2">
        <v>20</v>
      </c>
      <c r="I523" s="2">
        <v>0</v>
      </c>
      <c r="J523" s="2">
        <v>1</v>
      </c>
      <c r="K523">
        <f t="shared" si="56"/>
        <v>30.396677050700724</v>
      </c>
      <c r="L523">
        <f t="shared" si="57"/>
        <v>36.042170295548658</v>
      </c>
      <c r="M523">
        <f t="shared" si="58"/>
        <v>3.5209641445506446E-3</v>
      </c>
      <c r="N523">
        <f t="shared" si="59"/>
        <v>0.99647903585544939</v>
      </c>
      <c r="O523">
        <f t="shared" si="60"/>
        <v>0.99647903585544939</v>
      </c>
      <c r="P523">
        <f t="shared" si="61"/>
        <v>-3.5271773273540738E-3</v>
      </c>
    </row>
    <row r="524" spans="1:16" x14ac:dyDescent="0.3">
      <c r="A524" s="2">
        <f t="shared" si="62"/>
        <v>520</v>
      </c>
      <c r="B524" s="2">
        <v>20</v>
      </c>
      <c r="C524" s="2">
        <v>0.4</v>
      </c>
      <c r="D524" s="2">
        <v>20</v>
      </c>
      <c r="E524" s="2">
        <v>1</v>
      </c>
      <c r="F524" s="2">
        <v>60</v>
      </c>
      <c r="G524" s="2">
        <v>0.8</v>
      </c>
      <c r="H524" s="2">
        <v>10</v>
      </c>
      <c r="I524" s="2">
        <v>0</v>
      </c>
      <c r="J524" s="2">
        <v>1</v>
      </c>
      <c r="K524">
        <f t="shared" si="56"/>
        <v>15.716966204877139</v>
      </c>
      <c r="L524">
        <f t="shared" si="57"/>
        <v>36.042170295548658</v>
      </c>
      <c r="M524">
        <f t="shared" si="58"/>
        <v>1.4889359611013325E-9</v>
      </c>
      <c r="N524">
        <f t="shared" si="59"/>
        <v>0.99999999851106403</v>
      </c>
      <c r="O524">
        <f t="shared" si="60"/>
        <v>0.99999999851106403</v>
      </c>
      <c r="P524">
        <f t="shared" si="61"/>
        <v>-1.4889359756225148E-9</v>
      </c>
    </row>
    <row r="525" spans="1:16" x14ac:dyDescent="0.3">
      <c r="A525" s="2">
        <f t="shared" si="62"/>
        <v>521</v>
      </c>
      <c r="B525" s="2">
        <v>20</v>
      </c>
      <c r="C525" s="2">
        <v>0.6</v>
      </c>
      <c r="D525" s="2">
        <v>20</v>
      </c>
      <c r="E525" s="2">
        <v>1</v>
      </c>
      <c r="F525" s="2">
        <v>60</v>
      </c>
      <c r="G525" s="2">
        <v>0.9</v>
      </c>
      <c r="H525" s="2">
        <v>10</v>
      </c>
      <c r="I525" s="2">
        <v>0</v>
      </c>
      <c r="J525" s="2">
        <v>1</v>
      </c>
      <c r="K525">
        <f t="shared" si="56"/>
        <v>14.301542572289428</v>
      </c>
      <c r="L525">
        <f t="shared" si="57"/>
        <v>32.49261794517642</v>
      </c>
      <c r="M525">
        <f t="shared" si="58"/>
        <v>1.258103412109452E-8</v>
      </c>
      <c r="N525">
        <f t="shared" si="59"/>
        <v>0.9999999874189659</v>
      </c>
      <c r="O525">
        <f t="shared" si="60"/>
        <v>0.9999999874189659</v>
      </c>
      <c r="P525">
        <f t="shared" si="61"/>
        <v>-1.2581034182539491E-8</v>
      </c>
    </row>
    <row r="526" spans="1:16" x14ac:dyDescent="0.3">
      <c r="A526" s="2">
        <f t="shared" si="62"/>
        <v>522</v>
      </c>
      <c r="B526" s="2">
        <v>15</v>
      </c>
      <c r="C526" s="2">
        <v>0.8</v>
      </c>
      <c r="D526" s="2">
        <v>25</v>
      </c>
      <c r="E526" s="2">
        <v>1</v>
      </c>
      <c r="F526" s="2">
        <v>45</v>
      </c>
      <c r="G526" s="2">
        <v>1</v>
      </c>
      <c r="H526" s="2">
        <v>10</v>
      </c>
      <c r="I526" s="2">
        <v>0</v>
      </c>
      <c r="J526" s="2">
        <v>1</v>
      </c>
      <c r="K526">
        <f t="shared" si="56"/>
        <v>10.980159508785752</v>
      </c>
      <c r="L526">
        <f t="shared" si="57"/>
        <v>36.468554194340904</v>
      </c>
      <c r="M526">
        <f t="shared" si="58"/>
        <v>8.521790150780879E-12</v>
      </c>
      <c r="N526">
        <f t="shared" si="59"/>
        <v>0.99999999999147815</v>
      </c>
      <c r="O526">
        <f t="shared" si="60"/>
        <v>0.99999999999147815</v>
      </c>
      <c r="P526">
        <f t="shared" si="61"/>
        <v>-8.5218498924540869E-12</v>
      </c>
    </row>
    <row r="527" spans="1:16" x14ac:dyDescent="0.3">
      <c r="A527" s="2">
        <f t="shared" si="62"/>
        <v>523</v>
      </c>
      <c r="B527" s="2">
        <v>25</v>
      </c>
      <c r="C527" s="2">
        <v>0.6</v>
      </c>
      <c r="D527" s="2">
        <v>20</v>
      </c>
      <c r="E527" s="2">
        <v>1</v>
      </c>
      <c r="F527" s="2">
        <v>60</v>
      </c>
      <c r="G527" s="2">
        <v>1</v>
      </c>
      <c r="H527" s="2">
        <v>40</v>
      </c>
      <c r="I527" s="2">
        <v>1</v>
      </c>
      <c r="J527" s="2">
        <v>0</v>
      </c>
      <c r="K527">
        <f t="shared" si="56"/>
        <v>71.135671565446629</v>
      </c>
      <c r="L527">
        <f t="shared" si="57"/>
        <v>33.808462424561448</v>
      </c>
      <c r="M527">
        <f t="shared" si="58"/>
        <v>1</v>
      </c>
      <c r="N527">
        <f t="shared" si="59"/>
        <v>6.1517552033192073E-17</v>
      </c>
      <c r="O527">
        <f t="shared" si="60"/>
        <v>1</v>
      </c>
      <c r="P527">
        <f t="shared" si="61"/>
        <v>0</v>
      </c>
    </row>
    <row r="528" spans="1:16" x14ac:dyDescent="0.3">
      <c r="A528" s="2">
        <f t="shared" si="62"/>
        <v>524</v>
      </c>
      <c r="B528" s="2">
        <v>20</v>
      </c>
      <c r="C528" s="2">
        <v>0.6</v>
      </c>
      <c r="D528" s="2">
        <v>25</v>
      </c>
      <c r="E528" s="2">
        <v>1</v>
      </c>
      <c r="F528" s="2">
        <v>45</v>
      </c>
      <c r="G528" s="2">
        <v>0.9</v>
      </c>
      <c r="H528" s="2">
        <v>20</v>
      </c>
      <c r="I528" s="2">
        <v>0</v>
      </c>
      <c r="J528" s="2">
        <v>1</v>
      </c>
      <c r="K528">
        <f t="shared" si="56"/>
        <v>31.812100683288435</v>
      </c>
      <c r="L528">
        <f t="shared" si="57"/>
        <v>41.33395102409817</v>
      </c>
      <c r="M528">
        <f t="shared" si="58"/>
        <v>7.3228668158479524E-5</v>
      </c>
      <c r="N528">
        <f t="shared" si="59"/>
        <v>0.99992677133184149</v>
      </c>
      <c r="O528">
        <f t="shared" si="60"/>
        <v>0.99992677133184149</v>
      </c>
      <c r="P528">
        <f t="shared" si="61"/>
        <v>-7.3231349508331311E-5</v>
      </c>
    </row>
    <row r="529" spans="1:16" x14ac:dyDescent="0.3">
      <c r="A529" s="2">
        <f t="shared" si="62"/>
        <v>525</v>
      </c>
      <c r="B529" s="2">
        <v>20</v>
      </c>
      <c r="C529" s="2">
        <v>0.6</v>
      </c>
      <c r="D529" s="2">
        <v>25</v>
      </c>
      <c r="E529" s="2">
        <v>1</v>
      </c>
      <c r="F529" s="2">
        <v>45</v>
      </c>
      <c r="G529" s="2">
        <v>0.8</v>
      </c>
      <c r="H529" s="2">
        <v>40</v>
      </c>
      <c r="I529" s="2">
        <v>1</v>
      </c>
      <c r="J529" s="2">
        <v>0</v>
      </c>
      <c r="K529">
        <f t="shared" si="56"/>
        <v>72.060559399706079</v>
      </c>
      <c r="L529">
        <f t="shared" si="57"/>
        <v>41.33395102409817</v>
      </c>
      <c r="M529">
        <f t="shared" si="58"/>
        <v>0.9999999999999547</v>
      </c>
      <c r="N529">
        <f t="shared" si="59"/>
        <v>4.5248432076510068E-14</v>
      </c>
      <c r="O529">
        <f t="shared" si="60"/>
        <v>0.9999999999999547</v>
      </c>
      <c r="P529">
        <f t="shared" si="61"/>
        <v>-4.5297099404707416E-14</v>
      </c>
    </row>
    <row r="530" spans="1:16" x14ac:dyDescent="0.3">
      <c r="A530" s="2">
        <f t="shared" si="62"/>
        <v>526</v>
      </c>
      <c r="B530" s="2">
        <v>15</v>
      </c>
      <c r="C530" s="2">
        <v>0.4</v>
      </c>
      <c r="D530" s="2">
        <v>25</v>
      </c>
      <c r="E530" s="2">
        <v>1</v>
      </c>
      <c r="F530" s="2">
        <v>90</v>
      </c>
      <c r="G530" s="2">
        <v>0.8</v>
      </c>
      <c r="H530" s="2">
        <v>20</v>
      </c>
      <c r="I530" s="2">
        <v>0</v>
      </c>
      <c r="J530" s="2">
        <v>1</v>
      </c>
      <c r="K530">
        <f t="shared" si="56"/>
        <v>38.945402608624036</v>
      </c>
      <c r="L530">
        <f t="shared" si="57"/>
        <v>43.567658895085373</v>
      </c>
      <c r="M530">
        <f t="shared" si="58"/>
        <v>9.7348906687547247E-3</v>
      </c>
      <c r="N530">
        <f t="shared" si="59"/>
        <v>0.99026510933124523</v>
      </c>
      <c r="O530">
        <f t="shared" si="60"/>
        <v>0.99026510933124523</v>
      </c>
      <c r="P530">
        <f t="shared" si="61"/>
        <v>-9.7825844988168303E-3</v>
      </c>
    </row>
    <row r="531" spans="1:16" x14ac:dyDescent="0.3">
      <c r="A531" s="2">
        <f t="shared" si="62"/>
        <v>527</v>
      </c>
      <c r="B531" s="2">
        <v>25</v>
      </c>
      <c r="C531" s="2">
        <v>0.4</v>
      </c>
      <c r="D531" s="2">
        <v>20</v>
      </c>
      <c r="E531" s="2">
        <v>1</v>
      </c>
      <c r="F531" s="2">
        <v>60</v>
      </c>
      <c r="G531" s="2">
        <v>0.9</v>
      </c>
      <c r="H531" s="2">
        <v>20</v>
      </c>
      <c r="I531" s="2">
        <v>0</v>
      </c>
      <c r="J531" s="2">
        <v>1</v>
      </c>
      <c r="K531">
        <f t="shared" si="56"/>
        <v>33.718060114204398</v>
      </c>
      <c r="L531">
        <f t="shared" si="57"/>
        <v>37.358014774933686</v>
      </c>
      <c r="M531">
        <f t="shared" si="58"/>
        <v>2.5581918481639817E-2</v>
      </c>
      <c r="N531">
        <f t="shared" si="59"/>
        <v>0.97441808151836018</v>
      </c>
      <c r="O531">
        <f t="shared" si="60"/>
        <v>0.97441808151836018</v>
      </c>
      <c r="P531">
        <f t="shared" si="61"/>
        <v>-2.5914825632213829E-2</v>
      </c>
    </row>
    <row r="532" spans="1:16" x14ac:dyDescent="0.3">
      <c r="A532" s="2">
        <f t="shared" si="62"/>
        <v>528</v>
      </c>
      <c r="B532" s="2">
        <v>25</v>
      </c>
      <c r="C532" s="2">
        <v>0.6</v>
      </c>
      <c r="D532" s="2">
        <v>20</v>
      </c>
      <c r="E532" s="2">
        <v>1</v>
      </c>
      <c r="F532" s="2">
        <v>60</v>
      </c>
      <c r="G532" s="2">
        <v>0.9</v>
      </c>
      <c r="H532" s="2">
        <v>40</v>
      </c>
      <c r="I532" s="2">
        <v>1</v>
      </c>
      <c r="J532" s="2">
        <v>0</v>
      </c>
      <c r="K532">
        <f t="shared" si="56"/>
        <v>72.551095198034346</v>
      </c>
      <c r="L532">
        <f t="shared" si="57"/>
        <v>33.808462424561448</v>
      </c>
      <c r="M532">
        <f t="shared" si="58"/>
        <v>1</v>
      </c>
      <c r="N532">
        <f t="shared" si="59"/>
        <v>1.493785956082983E-17</v>
      </c>
      <c r="O532">
        <f t="shared" si="60"/>
        <v>1</v>
      </c>
      <c r="P532">
        <f t="shared" si="61"/>
        <v>0</v>
      </c>
    </row>
    <row r="533" spans="1:16" x14ac:dyDescent="0.3">
      <c r="A533" s="2">
        <f t="shared" si="62"/>
        <v>529</v>
      </c>
      <c r="B533" s="2">
        <v>20</v>
      </c>
      <c r="C533" s="2">
        <v>0.4</v>
      </c>
      <c r="D533" s="2">
        <v>25</v>
      </c>
      <c r="E533" s="2">
        <v>1</v>
      </c>
      <c r="F533" s="2">
        <v>90</v>
      </c>
      <c r="G533" s="2">
        <v>0.9</v>
      </c>
      <c r="H533" s="2">
        <v>40</v>
      </c>
      <c r="I533" s="2">
        <v>1</v>
      </c>
      <c r="J533" s="2">
        <v>0</v>
      </c>
      <c r="K533">
        <f t="shared" si="56"/>
        <v>76.363014059866273</v>
      </c>
      <c r="L533">
        <f t="shared" si="57"/>
        <v>44.883503374470401</v>
      </c>
      <c r="M533">
        <f t="shared" si="58"/>
        <v>0.99999999999997868</v>
      </c>
      <c r="N533">
        <f t="shared" si="59"/>
        <v>2.1311902288045985E-14</v>
      </c>
      <c r="O533">
        <f t="shared" si="60"/>
        <v>0.99999999999997868</v>
      </c>
      <c r="P533">
        <f t="shared" si="61"/>
        <v>-2.1316282072803233E-14</v>
      </c>
    </row>
    <row r="534" spans="1:16" x14ac:dyDescent="0.3">
      <c r="A534" s="2">
        <f t="shared" si="62"/>
        <v>530</v>
      </c>
      <c r="B534" s="2">
        <v>25</v>
      </c>
      <c r="C534" s="2">
        <v>0.6</v>
      </c>
      <c r="D534" s="2">
        <v>15</v>
      </c>
      <c r="E534" s="2">
        <v>1</v>
      </c>
      <c r="F534" s="2">
        <v>45</v>
      </c>
      <c r="G534" s="2">
        <v>0.9</v>
      </c>
      <c r="H534" s="2">
        <v>10</v>
      </c>
      <c r="I534" s="2">
        <v>0</v>
      </c>
      <c r="J534" s="2">
        <v>1</v>
      </c>
      <c r="K534">
        <f t="shared" si="56"/>
        <v>12.395583141373463</v>
      </c>
      <c r="L534">
        <f t="shared" si="57"/>
        <v>24.967129345639712</v>
      </c>
      <c r="M534">
        <f t="shared" si="58"/>
        <v>3.4693278928054563E-6</v>
      </c>
      <c r="N534">
        <f t="shared" si="59"/>
        <v>0.99999653067210714</v>
      </c>
      <c r="O534">
        <f t="shared" si="60"/>
        <v>0.99999653067210714</v>
      </c>
      <c r="P534">
        <f t="shared" si="61"/>
        <v>-3.4693339109896322E-6</v>
      </c>
    </row>
    <row r="535" spans="1:16" x14ac:dyDescent="0.3">
      <c r="A535" s="2">
        <f t="shared" si="62"/>
        <v>531</v>
      </c>
      <c r="B535" s="2">
        <v>15</v>
      </c>
      <c r="C535" s="2">
        <v>0.8</v>
      </c>
      <c r="D535" s="2">
        <v>15</v>
      </c>
      <c r="E535" s="2">
        <v>1</v>
      </c>
      <c r="F535" s="2">
        <v>45</v>
      </c>
      <c r="G535" s="2">
        <v>0.8</v>
      </c>
      <c r="H535" s="2">
        <v>20</v>
      </c>
      <c r="I535" s="2">
        <v>1</v>
      </c>
      <c r="J535" s="2">
        <v>0</v>
      </c>
      <c r="K535">
        <f t="shared" si="56"/>
        <v>33.227524315876146</v>
      </c>
      <c r="L535">
        <f t="shared" si="57"/>
        <v>18.785888036497418</v>
      </c>
      <c r="M535">
        <f t="shared" si="58"/>
        <v>0.99999946534107353</v>
      </c>
      <c r="N535">
        <f t="shared" si="59"/>
        <v>5.3465892643370196E-7</v>
      </c>
      <c r="O535">
        <f t="shared" si="60"/>
        <v>0.99999946534107353</v>
      </c>
      <c r="P535">
        <f t="shared" si="61"/>
        <v>-5.3465906939556037E-7</v>
      </c>
    </row>
    <row r="536" spans="1:16" x14ac:dyDescent="0.3">
      <c r="A536" s="2">
        <f t="shared" si="62"/>
        <v>532</v>
      </c>
      <c r="B536" s="2">
        <v>20</v>
      </c>
      <c r="C536" s="2">
        <v>0.8</v>
      </c>
      <c r="D536" s="2">
        <v>20</v>
      </c>
      <c r="E536" s="2">
        <v>1</v>
      </c>
      <c r="F536" s="2">
        <v>90</v>
      </c>
      <c r="G536" s="2">
        <v>0.8</v>
      </c>
      <c r="H536" s="2">
        <v>40</v>
      </c>
      <c r="I536" s="2">
        <v>1</v>
      </c>
      <c r="J536" s="2">
        <v>0</v>
      </c>
      <c r="K536">
        <f t="shared" si="56"/>
        <v>77.778437692453977</v>
      </c>
      <c r="L536">
        <f t="shared" si="57"/>
        <v>28.943065594804185</v>
      </c>
      <c r="M536">
        <f t="shared" si="58"/>
        <v>1</v>
      </c>
      <c r="N536">
        <f t="shared" si="59"/>
        <v>6.181122864308693E-22</v>
      </c>
      <c r="O536">
        <f t="shared" si="60"/>
        <v>1</v>
      </c>
      <c r="P536">
        <f t="shared" si="61"/>
        <v>0</v>
      </c>
    </row>
    <row r="537" spans="1:16" x14ac:dyDescent="0.3">
      <c r="A537" s="2">
        <f t="shared" si="62"/>
        <v>533</v>
      </c>
      <c r="B537" s="2">
        <v>15</v>
      </c>
      <c r="C537" s="2">
        <v>0.6</v>
      </c>
      <c r="D537" s="2">
        <v>20</v>
      </c>
      <c r="E537" s="2">
        <v>1</v>
      </c>
      <c r="F537" s="2">
        <v>45</v>
      </c>
      <c r="G537" s="2">
        <v>0.9</v>
      </c>
      <c r="H537" s="2">
        <v>40</v>
      </c>
      <c r="I537" s="2">
        <v>1</v>
      </c>
      <c r="J537" s="2">
        <v>0</v>
      </c>
      <c r="K537">
        <f t="shared" si="56"/>
        <v>70.645135767118376</v>
      </c>
      <c r="L537">
        <f t="shared" si="57"/>
        <v>31.176773465791396</v>
      </c>
      <c r="M537">
        <f t="shared" si="58"/>
        <v>1</v>
      </c>
      <c r="N537">
        <f t="shared" si="59"/>
        <v>7.2294963496803228E-18</v>
      </c>
      <c r="O537">
        <f t="shared" si="60"/>
        <v>1</v>
      </c>
      <c r="P537">
        <f t="shared" si="61"/>
        <v>0</v>
      </c>
    </row>
    <row r="538" spans="1:16" x14ac:dyDescent="0.3">
      <c r="A538" s="2">
        <f t="shared" si="62"/>
        <v>534</v>
      </c>
      <c r="B538" s="2">
        <v>25</v>
      </c>
      <c r="C538" s="2">
        <v>0.6</v>
      </c>
      <c r="D538" s="2">
        <v>15</v>
      </c>
      <c r="E538" s="2">
        <v>1</v>
      </c>
      <c r="F538" s="2">
        <v>45</v>
      </c>
      <c r="G538" s="2">
        <v>1</v>
      </c>
      <c r="H538" s="2">
        <v>10</v>
      </c>
      <c r="I538" s="2">
        <v>0</v>
      </c>
      <c r="J538" s="2">
        <v>1</v>
      </c>
      <c r="K538">
        <f t="shared" si="56"/>
        <v>10.980159508785752</v>
      </c>
      <c r="L538">
        <f t="shared" si="57"/>
        <v>24.967129345639712</v>
      </c>
      <c r="M538">
        <f t="shared" si="58"/>
        <v>8.4243386249730298E-7</v>
      </c>
      <c r="N538">
        <f t="shared" si="59"/>
        <v>0.99999915756613744</v>
      </c>
      <c r="O538">
        <f t="shared" si="60"/>
        <v>0.99999915756613744</v>
      </c>
      <c r="P538">
        <f t="shared" si="61"/>
        <v>-8.4243421740549543E-7</v>
      </c>
    </row>
    <row r="539" spans="1:16" x14ac:dyDescent="0.3">
      <c r="A539" s="2">
        <f t="shared" si="62"/>
        <v>535</v>
      </c>
      <c r="B539" s="2">
        <v>20</v>
      </c>
      <c r="C539" s="2">
        <v>0.8</v>
      </c>
      <c r="D539" s="2">
        <v>15</v>
      </c>
      <c r="E539" s="2">
        <v>1</v>
      </c>
      <c r="F539" s="2">
        <v>60</v>
      </c>
      <c r="G539" s="2">
        <v>0.9</v>
      </c>
      <c r="H539" s="2">
        <v>10</v>
      </c>
      <c r="I539" s="2">
        <v>0</v>
      </c>
      <c r="J539" s="2">
        <v>1</v>
      </c>
      <c r="K539">
        <f t="shared" si="56"/>
        <v>14.301542572289428</v>
      </c>
      <c r="L539">
        <f t="shared" si="57"/>
        <v>20.101732515882446</v>
      </c>
      <c r="M539">
        <f t="shared" si="58"/>
        <v>3.0178447803662482E-3</v>
      </c>
      <c r="N539">
        <f t="shared" si="59"/>
        <v>0.99698215521963374</v>
      </c>
      <c r="O539">
        <f t="shared" si="60"/>
        <v>0.99698215521963374</v>
      </c>
      <c r="P539">
        <f t="shared" si="61"/>
        <v>-3.0224076562719955E-3</v>
      </c>
    </row>
    <row r="540" spans="1:16" x14ac:dyDescent="0.3">
      <c r="A540" s="2">
        <f t="shared" si="62"/>
        <v>536</v>
      </c>
      <c r="B540" s="2">
        <v>20</v>
      </c>
      <c r="C540" s="2">
        <v>0.8</v>
      </c>
      <c r="D540" s="2">
        <v>25</v>
      </c>
      <c r="E540" s="2">
        <v>1</v>
      </c>
      <c r="F540" s="2">
        <v>60</v>
      </c>
      <c r="G540" s="2">
        <v>0.8</v>
      </c>
      <c r="H540" s="2">
        <v>10</v>
      </c>
      <c r="I540" s="2">
        <v>0</v>
      </c>
      <c r="J540" s="2">
        <v>1</v>
      </c>
      <c r="K540">
        <f t="shared" si="56"/>
        <v>15.716966204877139</v>
      </c>
      <c r="L540">
        <f t="shared" si="57"/>
        <v>37.784398673725924</v>
      </c>
      <c r="M540">
        <f t="shared" si="58"/>
        <v>2.6075692377053859E-10</v>
      </c>
      <c r="N540">
        <f t="shared" si="59"/>
        <v>0.99999999973924314</v>
      </c>
      <c r="O540">
        <f t="shared" si="60"/>
        <v>0.99999999973924314</v>
      </c>
      <c r="P540">
        <f t="shared" si="61"/>
        <v>-2.607568605823805E-10</v>
      </c>
    </row>
    <row r="541" spans="1:16" x14ac:dyDescent="0.3">
      <c r="A541" s="2">
        <f t="shared" si="62"/>
        <v>537</v>
      </c>
      <c r="B541" s="2">
        <v>25</v>
      </c>
      <c r="C541" s="2">
        <v>0.8</v>
      </c>
      <c r="D541" s="2">
        <v>20</v>
      </c>
      <c r="E541" s="2">
        <v>1</v>
      </c>
      <c r="F541" s="2">
        <v>60</v>
      </c>
      <c r="G541" s="2">
        <v>0.9</v>
      </c>
      <c r="H541" s="2">
        <v>10</v>
      </c>
      <c r="I541" s="2">
        <v>0</v>
      </c>
      <c r="J541" s="2">
        <v>1</v>
      </c>
      <c r="K541">
        <f t="shared" si="56"/>
        <v>14.301542572289428</v>
      </c>
      <c r="L541">
        <f t="shared" si="57"/>
        <v>30.258910074189213</v>
      </c>
      <c r="M541">
        <f t="shared" si="58"/>
        <v>1.1743655350881169E-7</v>
      </c>
      <c r="N541">
        <f t="shared" si="59"/>
        <v>0.99999988256344641</v>
      </c>
      <c r="O541">
        <f t="shared" si="60"/>
        <v>0.99999988256344641</v>
      </c>
      <c r="P541">
        <f t="shared" si="61"/>
        <v>-1.1743656048842612E-7</v>
      </c>
    </row>
    <row r="542" spans="1:16" x14ac:dyDescent="0.3">
      <c r="A542" s="2">
        <f t="shared" si="62"/>
        <v>538</v>
      </c>
      <c r="B542" s="2">
        <v>25</v>
      </c>
      <c r="C542" s="2">
        <v>0.8</v>
      </c>
      <c r="D542" s="2">
        <v>25</v>
      </c>
      <c r="E542" s="2">
        <v>1</v>
      </c>
      <c r="F542" s="2">
        <v>60</v>
      </c>
      <c r="G542" s="2">
        <v>0.9</v>
      </c>
      <c r="H542" s="2">
        <v>20</v>
      </c>
      <c r="I542" s="2">
        <v>0</v>
      </c>
      <c r="J542" s="2">
        <v>1</v>
      </c>
      <c r="K542">
        <f t="shared" si="56"/>
        <v>33.718060114204398</v>
      </c>
      <c r="L542">
        <f t="shared" si="57"/>
        <v>39.100243153110959</v>
      </c>
      <c r="M542">
        <f t="shared" si="58"/>
        <v>4.5767310726822306E-3</v>
      </c>
      <c r="N542">
        <f t="shared" si="59"/>
        <v>0.99542326892731781</v>
      </c>
      <c r="O542">
        <f t="shared" si="60"/>
        <v>0.99542326892731781</v>
      </c>
      <c r="P542">
        <f t="shared" si="61"/>
        <v>-4.5872363718790637E-3</v>
      </c>
    </row>
    <row r="543" spans="1:16" x14ac:dyDescent="0.3">
      <c r="A543" s="2">
        <f t="shared" si="62"/>
        <v>539</v>
      </c>
      <c r="B543" s="2">
        <v>15</v>
      </c>
      <c r="C543" s="2">
        <v>0.6</v>
      </c>
      <c r="D543" s="2">
        <v>25</v>
      </c>
      <c r="E543" s="2">
        <v>1</v>
      </c>
      <c r="F543" s="2">
        <v>90</v>
      </c>
      <c r="G543" s="2">
        <v>1</v>
      </c>
      <c r="H543" s="2">
        <v>20</v>
      </c>
      <c r="I543" s="2">
        <v>0</v>
      </c>
      <c r="J543" s="2">
        <v>1</v>
      </c>
      <c r="K543">
        <f t="shared" si="56"/>
        <v>36.114555343448615</v>
      </c>
      <c r="L543">
        <f t="shared" si="57"/>
        <v>40.018106544713142</v>
      </c>
      <c r="M543">
        <f t="shared" si="58"/>
        <v>1.9771364329530736E-2</v>
      </c>
      <c r="N543">
        <f t="shared" si="59"/>
        <v>0.98022863567046925</v>
      </c>
      <c r="O543">
        <f t="shared" si="60"/>
        <v>0.98022863567046925</v>
      </c>
      <c r="P543">
        <f t="shared" si="61"/>
        <v>-1.9969432823569559E-2</v>
      </c>
    </row>
    <row r="544" spans="1:16" x14ac:dyDescent="0.3">
      <c r="A544" s="2">
        <f t="shared" si="62"/>
        <v>540</v>
      </c>
      <c r="B544" s="2">
        <v>15</v>
      </c>
      <c r="C544" s="2">
        <v>0.6</v>
      </c>
      <c r="D544" s="2">
        <v>20</v>
      </c>
      <c r="E544" s="2">
        <v>1</v>
      </c>
      <c r="F544" s="2">
        <v>45</v>
      </c>
      <c r="G544" s="2">
        <v>0.8</v>
      </c>
      <c r="H544" s="2">
        <v>10</v>
      </c>
      <c r="I544" s="2">
        <v>0</v>
      </c>
      <c r="J544" s="2">
        <v>1</v>
      </c>
      <c r="K544">
        <f t="shared" si="56"/>
        <v>13.811006773961173</v>
      </c>
      <c r="L544">
        <f t="shared" si="57"/>
        <v>31.176773465791396</v>
      </c>
      <c r="M544">
        <f t="shared" si="58"/>
        <v>2.8717282418707681E-8</v>
      </c>
      <c r="N544">
        <f t="shared" si="59"/>
        <v>0.99999997128271756</v>
      </c>
      <c r="O544">
        <f t="shared" si="60"/>
        <v>0.99999997128271756</v>
      </c>
      <c r="P544">
        <f t="shared" si="61"/>
        <v>-2.871728285325659E-8</v>
      </c>
    </row>
    <row r="545" spans="1:16" x14ac:dyDescent="0.3">
      <c r="A545" s="2">
        <f t="shared" si="62"/>
        <v>541</v>
      </c>
      <c r="B545" s="2">
        <v>25</v>
      </c>
      <c r="C545" s="2">
        <v>0.8</v>
      </c>
      <c r="D545" s="2">
        <v>20</v>
      </c>
      <c r="E545" s="2">
        <v>1</v>
      </c>
      <c r="F545" s="2">
        <v>90</v>
      </c>
      <c r="G545" s="2">
        <v>0.9</v>
      </c>
      <c r="H545" s="2">
        <v>40</v>
      </c>
      <c r="I545" s="2">
        <v>1</v>
      </c>
      <c r="J545" s="2">
        <v>0</v>
      </c>
      <c r="K545">
        <f t="shared" si="56"/>
        <v>76.363014059866273</v>
      </c>
      <c r="L545">
        <f t="shared" si="57"/>
        <v>30.258910074189213</v>
      </c>
      <c r="M545">
        <f t="shared" si="58"/>
        <v>1</v>
      </c>
      <c r="N545">
        <f t="shared" si="59"/>
        <v>9.4894719396190424E-21</v>
      </c>
      <c r="O545">
        <f t="shared" si="60"/>
        <v>1</v>
      </c>
      <c r="P545">
        <f t="shared" si="61"/>
        <v>0</v>
      </c>
    </row>
    <row r="546" spans="1:16" x14ac:dyDescent="0.3">
      <c r="A546" s="2">
        <f t="shared" si="62"/>
        <v>542</v>
      </c>
      <c r="B546" s="2">
        <v>25</v>
      </c>
      <c r="C546" s="2">
        <v>0.4</v>
      </c>
      <c r="D546" s="2">
        <v>20</v>
      </c>
      <c r="E546" s="2">
        <v>1</v>
      </c>
      <c r="F546" s="2">
        <v>45</v>
      </c>
      <c r="G546" s="2">
        <v>0.8</v>
      </c>
      <c r="H546" s="2">
        <v>20</v>
      </c>
      <c r="I546" s="2">
        <v>0</v>
      </c>
      <c r="J546" s="2">
        <v>1</v>
      </c>
      <c r="K546">
        <f t="shared" si="56"/>
        <v>33.227524315876146</v>
      </c>
      <c r="L546">
        <f t="shared" si="57"/>
        <v>37.358014774933686</v>
      </c>
      <c r="M546">
        <f t="shared" si="58"/>
        <v>1.5820675518583502E-2</v>
      </c>
      <c r="N546">
        <f t="shared" si="59"/>
        <v>0.98417932448141654</v>
      </c>
      <c r="O546">
        <f t="shared" si="60"/>
        <v>0.98417932448141654</v>
      </c>
      <c r="P546">
        <f t="shared" si="61"/>
        <v>-1.5947158206991913E-2</v>
      </c>
    </row>
    <row r="547" spans="1:16" x14ac:dyDescent="0.3">
      <c r="A547" s="2">
        <f t="shared" si="62"/>
        <v>543</v>
      </c>
      <c r="B547" s="2">
        <v>20</v>
      </c>
      <c r="C547" s="2">
        <v>0.8</v>
      </c>
      <c r="D547" s="2">
        <v>20</v>
      </c>
      <c r="E547" s="2">
        <v>1</v>
      </c>
      <c r="F547" s="2">
        <v>90</v>
      </c>
      <c r="G547" s="2">
        <v>0.9</v>
      </c>
      <c r="H547" s="2">
        <v>20</v>
      </c>
      <c r="I547" s="2">
        <v>1</v>
      </c>
      <c r="J547" s="2">
        <v>0</v>
      </c>
      <c r="K547">
        <f t="shared" si="56"/>
        <v>37.529978976036332</v>
      </c>
      <c r="L547">
        <f t="shared" si="57"/>
        <v>28.943065594804185</v>
      </c>
      <c r="M547">
        <f t="shared" si="58"/>
        <v>0.99981350383736722</v>
      </c>
      <c r="N547">
        <f t="shared" si="59"/>
        <v>1.8649616263283301E-4</v>
      </c>
      <c r="O547">
        <f t="shared" si="60"/>
        <v>0.99981350383736722</v>
      </c>
      <c r="P547">
        <f t="shared" si="61"/>
        <v>-1.8651355520458049E-4</v>
      </c>
    </row>
    <row r="548" spans="1:16" x14ac:dyDescent="0.3">
      <c r="A548" s="2">
        <f t="shared" si="62"/>
        <v>544</v>
      </c>
      <c r="B548" s="2">
        <v>15</v>
      </c>
      <c r="C548" s="2">
        <v>0.6</v>
      </c>
      <c r="D548" s="2">
        <v>25</v>
      </c>
      <c r="E548" s="2">
        <v>1</v>
      </c>
      <c r="F548" s="2">
        <v>60</v>
      </c>
      <c r="G548" s="2">
        <v>1</v>
      </c>
      <c r="H548" s="2">
        <v>10</v>
      </c>
      <c r="I548" s="2">
        <v>0</v>
      </c>
      <c r="J548" s="2">
        <v>1</v>
      </c>
      <c r="K548">
        <f t="shared" si="56"/>
        <v>12.886118939701717</v>
      </c>
      <c r="L548">
        <f t="shared" si="57"/>
        <v>40.018106544713142</v>
      </c>
      <c r="M548">
        <f t="shared" si="58"/>
        <v>1.6471285693767754E-12</v>
      </c>
      <c r="N548">
        <f t="shared" si="59"/>
        <v>0.99999999999835287</v>
      </c>
      <c r="O548">
        <f t="shared" si="60"/>
        <v>0.99999999999835287</v>
      </c>
      <c r="P548">
        <f t="shared" si="61"/>
        <v>-1.6471268793352387E-12</v>
      </c>
    </row>
    <row r="549" spans="1:16" x14ac:dyDescent="0.3">
      <c r="A549" s="2">
        <f t="shared" si="62"/>
        <v>545</v>
      </c>
      <c r="B549" s="2">
        <v>20</v>
      </c>
      <c r="C549" s="2">
        <v>0.4</v>
      </c>
      <c r="D549" s="2">
        <v>15</v>
      </c>
      <c r="E549" s="2">
        <v>1</v>
      </c>
      <c r="F549" s="2">
        <v>90</v>
      </c>
      <c r="G549" s="2">
        <v>1</v>
      </c>
      <c r="H549" s="2">
        <v>20</v>
      </c>
      <c r="I549" s="2">
        <v>1</v>
      </c>
      <c r="J549" s="2">
        <v>0</v>
      </c>
      <c r="K549">
        <f t="shared" si="56"/>
        <v>36.114555343448615</v>
      </c>
      <c r="L549">
        <f t="shared" si="57"/>
        <v>27.200837216626923</v>
      </c>
      <c r="M549">
        <f t="shared" si="58"/>
        <v>0.99986548739535419</v>
      </c>
      <c r="N549">
        <f t="shared" si="59"/>
        <v>1.3451260464589552E-4</v>
      </c>
      <c r="O549">
        <f t="shared" si="60"/>
        <v>0.99986548739535419</v>
      </c>
      <c r="P549">
        <f t="shared" si="61"/>
        <v>-1.3452165227756935E-4</v>
      </c>
    </row>
    <row r="550" spans="1:16" x14ac:dyDescent="0.3">
      <c r="A550" s="2">
        <f t="shared" si="62"/>
        <v>546</v>
      </c>
      <c r="B550" s="2">
        <v>20</v>
      </c>
      <c r="C550" s="2">
        <v>0.4</v>
      </c>
      <c r="D550" s="2">
        <v>25</v>
      </c>
      <c r="E550" s="2">
        <v>1</v>
      </c>
      <c r="F550" s="2">
        <v>90</v>
      </c>
      <c r="G550" s="2">
        <v>0.9</v>
      </c>
      <c r="H550" s="2">
        <v>10</v>
      </c>
      <c r="I550" s="2">
        <v>0</v>
      </c>
      <c r="J550" s="2">
        <v>1</v>
      </c>
      <c r="K550">
        <f t="shared" si="56"/>
        <v>18.113461434121358</v>
      </c>
      <c r="L550">
        <f t="shared" si="57"/>
        <v>44.883503374470401</v>
      </c>
      <c r="M550">
        <f t="shared" si="58"/>
        <v>2.3654757761930733E-12</v>
      </c>
      <c r="N550">
        <f t="shared" si="59"/>
        <v>0.99999999999763456</v>
      </c>
      <c r="O550">
        <f t="shared" si="60"/>
        <v>0.99999999999763456</v>
      </c>
      <c r="P550">
        <f t="shared" si="61"/>
        <v>-2.3654411762691563E-12</v>
      </c>
    </row>
    <row r="551" spans="1:16" x14ac:dyDescent="0.3">
      <c r="A551" s="2">
        <f t="shared" si="62"/>
        <v>547</v>
      </c>
      <c r="B551" s="2">
        <v>20</v>
      </c>
      <c r="C551" s="2">
        <v>0.4</v>
      </c>
      <c r="D551" s="2">
        <v>15</v>
      </c>
      <c r="E551" s="2">
        <v>1</v>
      </c>
      <c r="F551" s="2">
        <v>90</v>
      </c>
      <c r="G551" s="2">
        <v>0.9</v>
      </c>
      <c r="H551" s="2">
        <v>20</v>
      </c>
      <c r="I551" s="2">
        <v>1</v>
      </c>
      <c r="J551" s="2">
        <v>0</v>
      </c>
      <c r="K551">
        <f t="shared" si="56"/>
        <v>37.529978976036332</v>
      </c>
      <c r="L551">
        <f t="shared" si="57"/>
        <v>27.200837216626923</v>
      </c>
      <c r="M551">
        <f t="shared" si="58"/>
        <v>0.99996733395588944</v>
      </c>
      <c r="N551">
        <f t="shared" si="59"/>
        <v>3.2666044110440685E-5</v>
      </c>
      <c r="O551">
        <f t="shared" si="60"/>
        <v>0.99996733395588944</v>
      </c>
      <c r="P551">
        <f t="shared" si="61"/>
        <v>-3.2666577657401258E-5</v>
      </c>
    </row>
    <row r="552" spans="1:16" x14ac:dyDescent="0.3">
      <c r="A552" s="2">
        <f t="shared" si="62"/>
        <v>548</v>
      </c>
      <c r="B552" s="2">
        <v>20</v>
      </c>
      <c r="C552" s="2">
        <v>0.8</v>
      </c>
      <c r="D552" s="2">
        <v>15</v>
      </c>
      <c r="E552" s="2">
        <v>1</v>
      </c>
      <c r="F552" s="2">
        <v>60</v>
      </c>
      <c r="G552" s="2">
        <v>1</v>
      </c>
      <c r="H552" s="2">
        <v>10</v>
      </c>
      <c r="I552" s="2">
        <v>0</v>
      </c>
      <c r="J552" s="2">
        <v>1</v>
      </c>
      <c r="K552">
        <f t="shared" si="56"/>
        <v>12.886118939701717</v>
      </c>
      <c r="L552">
        <f t="shared" si="57"/>
        <v>20.101732515882446</v>
      </c>
      <c r="M552">
        <f t="shared" si="58"/>
        <v>7.3447960813862172E-4</v>
      </c>
      <c r="N552">
        <f t="shared" si="59"/>
        <v>0.99926552039186145</v>
      </c>
      <c r="O552">
        <f t="shared" si="60"/>
        <v>0.99926552039186145</v>
      </c>
      <c r="P552">
        <f t="shared" si="61"/>
        <v>-7.3474947043292778E-4</v>
      </c>
    </row>
    <row r="553" spans="1:16" x14ac:dyDescent="0.3">
      <c r="A553" s="2">
        <f t="shared" si="62"/>
        <v>549</v>
      </c>
      <c r="B553" s="2">
        <v>15</v>
      </c>
      <c r="C553" s="2">
        <v>0.6</v>
      </c>
      <c r="D553" s="2">
        <v>25</v>
      </c>
      <c r="E553" s="2">
        <v>1</v>
      </c>
      <c r="F553" s="2">
        <v>45</v>
      </c>
      <c r="G553" s="2">
        <v>1</v>
      </c>
      <c r="H553" s="2">
        <v>20</v>
      </c>
      <c r="I553" s="2">
        <v>0</v>
      </c>
      <c r="J553" s="2">
        <v>1</v>
      </c>
      <c r="K553">
        <f t="shared" si="56"/>
        <v>30.396677050700724</v>
      </c>
      <c r="L553">
        <f t="shared" si="57"/>
        <v>40.018106544713142</v>
      </c>
      <c r="M553">
        <f t="shared" si="58"/>
        <v>6.6288390306837373E-5</v>
      </c>
      <c r="N553">
        <f t="shared" si="59"/>
        <v>0.99993371160969313</v>
      </c>
      <c r="O553">
        <f t="shared" si="60"/>
        <v>0.99993371160969313</v>
      </c>
      <c r="P553">
        <f t="shared" si="61"/>
        <v>-6.6290587479311133E-5</v>
      </c>
    </row>
    <row r="554" spans="1:16" x14ac:dyDescent="0.3">
      <c r="A554" s="2">
        <f t="shared" si="62"/>
        <v>550</v>
      </c>
      <c r="B554" s="2">
        <v>25</v>
      </c>
      <c r="C554" s="2">
        <v>0.8</v>
      </c>
      <c r="D554" s="2">
        <v>15</v>
      </c>
      <c r="E554" s="2">
        <v>1</v>
      </c>
      <c r="F554" s="2">
        <v>45</v>
      </c>
      <c r="G554" s="2">
        <v>0.9</v>
      </c>
      <c r="H554" s="2">
        <v>10</v>
      </c>
      <c r="I554" s="2">
        <v>0</v>
      </c>
      <c r="J554" s="2">
        <v>1</v>
      </c>
      <c r="K554">
        <f t="shared" si="56"/>
        <v>12.395583141373463</v>
      </c>
      <c r="L554">
        <f t="shared" si="57"/>
        <v>21.417576995267474</v>
      </c>
      <c r="M554">
        <f t="shared" si="58"/>
        <v>1.2071060493559836E-4</v>
      </c>
      <c r="N554">
        <f t="shared" si="59"/>
        <v>0.99987928939506443</v>
      </c>
      <c r="O554">
        <f t="shared" si="60"/>
        <v>0.99987928939506443</v>
      </c>
      <c r="P554">
        <f t="shared" si="61"/>
        <v>-1.2071789104698842E-4</v>
      </c>
    </row>
    <row r="555" spans="1:16" x14ac:dyDescent="0.3">
      <c r="A555" s="2">
        <f t="shared" si="62"/>
        <v>551</v>
      </c>
      <c r="B555" s="2">
        <v>20</v>
      </c>
      <c r="C555" s="2">
        <v>0.4</v>
      </c>
      <c r="D555" s="2">
        <v>15</v>
      </c>
      <c r="E555" s="2">
        <v>1</v>
      </c>
      <c r="F555" s="2">
        <v>60</v>
      </c>
      <c r="G555" s="2">
        <v>1</v>
      </c>
      <c r="H555" s="2">
        <v>40</v>
      </c>
      <c r="I555" s="2">
        <v>1</v>
      </c>
      <c r="J555" s="2">
        <v>0</v>
      </c>
      <c r="K555">
        <f t="shared" si="56"/>
        <v>71.135671565446629</v>
      </c>
      <c r="L555">
        <f t="shared" si="57"/>
        <v>27.200837216626923</v>
      </c>
      <c r="M555">
        <f t="shared" si="58"/>
        <v>1</v>
      </c>
      <c r="N555">
        <f t="shared" si="59"/>
        <v>8.3050811236025684E-20</v>
      </c>
      <c r="O555">
        <f t="shared" si="60"/>
        <v>1</v>
      </c>
      <c r="P555">
        <f t="shared" si="61"/>
        <v>0</v>
      </c>
    </row>
    <row r="556" spans="1:16" x14ac:dyDescent="0.3">
      <c r="A556" s="2">
        <f t="shared" si="62"/>
        <v>552</v>
      </c>
      <c r="B556" s="2">
        <v>25</v>
      </c>
      <c r="C556" s="2">
        <v>0.4</v>
      </c>
      <c r="D556" s="2">
        <v>20</v>
      </c>
      <c r="E556" s="2">
        <v>1</v>
      </c>
      <c r="F556" s="2">
        <v>90</v>
      </c>
      <c r="G556" s="2">
        <v>1</v>
      </c>
      <c r="H556" s="2">
        <v>10</v>
      </c>
      <c r="I556" s="2">
        <v>0</v>
      </c>
      <c r="J556" s="2">
        <v>1</v>
      </c>
      <c r="K556">
        <f t="shared" si="56"/>
        <v>16.698037801533648</v>
      </c>
      <c r="L556">
        <f t="shared" si="57"/>
        <v>37.358014774933686</v>
      </c>
      <c r="M556">
        <f t="shared" si="58"/>
        <v>1.0653345299644732E-9</v>
      </c>
      <c r="N556">
        <f t="shared" si="59"/>
        <v>0.9999999989346654</v>
      </c>
      <c r="O556">
        <f t="shared" si="60"/>
        <v>0.9999999989346654</v>
      </c>
      <c r="P556">
        <f t="shared" si="61"/>
        <v>-1.0653345988832835E-9</v>
      </c>
    </row>
    <row r="557" spans="1:16" x14ac:dyDescent="0.3">
      <c r="A557" s="2">
        <f t="shared" si="62"/>
        <v>553</v>
      </c>
      <c r="B557" s="2">
        <v>15</v>
      </c>
      <c r="C557" s="2">
        <v>0.4</v>
      </c>
      <c r="D557" s="2">
        <v>25</v>
      </c>
      <c r="E557" s="2">
        <v>1</v>
      </c>
      <c r="F557" s="2">
        <v>90</v>
      </c>
      <c r="G557" s="2">
        <v>0.8</v>
      </c>
      <c r="H557" s="2">
        <v>20</v>
      </c>
      <c r="I557" s="2">
        <v>0</v>
      </c>
      <c r="J557" s="2">
        <v>1</v>
      </c>
      <c r="K557">
        <f t="shared" si="56"/>
        <v>38.945402608624036</v>
      </c>
      <c r="L557">
        <f t="shared" si="57"/>
        <v>43.567658895085373</v>
      </c>
      <c r="M557">
        <f t="shared" si="58"/>
        <v>9.7348906687547247E-3</v>
      </c>
      <c r="N557">
        <f t="shared" si="59"/>
        <v>0.99026510933124523</v>
      </c>
      <c r="O557">
        <f t="shared" si="60"/>
        <v>0.99026510933124523</v>
      </c>
      <c r="P557">
        <f t="shared" si="61"/>
        <v>-9.7825844988168303E-3</v>
      </c>
    </row>
    <row r="558" spans="1:16" x14ac:dyDescent="0.3">
      <c r="A558" s="2">
        <f t="shared" si="62"/>
        <v>554</v>
      </c>
      <c r="B558" s="2">
        <v>15</v>
      </c>
      <c r="C558" s="2">
        <v>0.8</v>
      </c>
      <c r="D558" s="2">
        <v>15</v>
      </c>
      <c r="E558" s="2">
        <v>1</v>
      </c>
      <c r="F558" s="2">
        <v>90</v>
      </c>
      <c r="G558" s="2">
        <v>0.8</v>
      </c>
      <c r="H558" s="2">
        <v>40</v>
      </c>
      <c r="I558" s="2">
        <v>1</v>
      </c>
      <c r="J558" s="2">
        <v>0</v>
      </c>
      <c r="K558">
        <f t="shared" si="56"/>
        <v>77.778437692453977</v>
      </c>
      <c r="L558">
        <f t="shared" si="57"/>
        <v>18.785888036497418</v>
      </c>
      <c r="M558">
        <f t="shared" si="58"/>
        <v>1</v>
      </c>
      <c r="N558">
        <f t="shared" si="59"/>
        <v>2.3980664381897091E-26</v>
      </c>
      <c r="O558">
        <f t="shared" si="60"/>
        <v>1</v>
      </c>
      <c r="P558">
        <f t="shared" si="61"/>
        <v>0</v>
      </c>
    </row>
    <row r="559" spans="1:16" x14ac:dyDescent="0.3">
      <c r="A559" s="2">
        <f t="shared" si="62"/>
        <v>555</v>
      </c>
      <c r="B559" s="2">
        <v>20</v>
      </c>
      <c r="C559" s="2">
        <v>0.4</v>
      </c>
      <c r="D559" s="2">
        <v>25</v>
      </c>
      <c r="E559" s="2">
        <v>1</v>
      </c>
      <c r="F559" s="2">
        <v>45</v>
      </c>
      <c r="G559" s="2">
        <v>1</v>
      </c>
      <c r="H559" s="2">
        <v>10</v>
      </c>
      <c r="I559" s="2">
        <v>0</v>
      </c>
      <c r="J559" s="2">
        <v>1</v>
      </c>
      <c r="K559">
        <f t="shared" si="56"/>
        <v>10.980159508785752</v>
      </c>
      <c r="L559">
        <f t="shared" si="57"/>
        <v>44.883503374470401</v>
      </c>
      <c r="M559">
        <f t="shared" si="58"/>
        <v>1.8878385102240406E-15</v>
      </c>
      <c r="N559">
        <f t="shared" si="59"/>
        <v>0.99999999999999811</v>
      </c>
      <c r="O559">
        <f t="shared" si="60"/>
        <v>0.99999999999999811</v>
      </c>
      <c r="P559">
        <f t="shared" si="61"/>
        <v>-1.8873791418627681E-15</v>
      </c>
    </row>
    <row r="560" spans="1:16" x14ac:dyDescent="0.3">
      <c r="A560" s="2">
        <f t="shared" si="62"/>
        <v>556</v>
      </c>
      <c r="B560" s="2">
        <v>20</v>
      </c>
      <c r="C560" s="2">
        <v>0.4</v>
      </c>
      <c r="D560" s="2">
        <v>20</v>
      </c>
      <c r="E560" s="2">
        <v>1</v>
      </c>
      <c r="F560" s="2">
        <v>45</v>
      </c>
      <c r="G560" s="2">
        <v>0.8</v>
      </c>
      <c r="H560" s="2">
        <v>10</v>
      </c>
      <c r="I560" s="2">
        <v>0</v>
      </c>
      <c r="J560" s="2">
        <v>1</v>
      </c>
      <c r="K560">
        <f t="shared" si="56"/>
        <v>13.811006773961173</v>
      </c>
      <c r="L560">
        <f t="shared" si="57"/>
        <v>36.042170295548658</v>
      </c>
      <c r="M560">
        <f t="shared" si="58"/>
        <v>2.2137488887347283E-10</v>
      </c>
      <c r="N560">
        <f t="shared" si="59"/>
        <v>0.99999999977862508</v>
      </c>
      <c r="O560">
        <f t="shared" si="60"/>
        <v>0.99999999977862508</v>
      </c>
      <c r="P560">
        <f t="shared" si="61"/>
        <v>-2.2137491842108083E-10</v>
      </c>
    </row>
    <row r="561" spans="1:16" x14ac:dyDescent="0.3">
      <c r="A561" s="2">
        <f t="shared" si="62"/>
        <v>557</v>
      </c>
      <c r="B561" s="2">
        <v>20</v>
      </c>
      <c r="C561" s="2">
        <v>0.6</v>
      </c>
      <c r="D561" s="2">
        <v>15</v>
      </c>
      <c r="E561" s="2">
        <v>1</v>
      </c>
      <c r="F561" s="2">
        <v>60</v>
      </c>
      <c r="G561" s="2">
        <v>0.8</v>
      </c>
      <c r="H561" s="2">
        <v>10</v>
      </c>
      <c r="I561" s="2">
        <v>0</v>
      </c>
      <c r="J561" s="2">
        <v>1</v>
      </c>
      <c r="K561">
        <f t="shared" si="56"/>
        <v>15.716966204877139</v>
      </c>
      <c r="L561">
        <f t="shared" si="57"/>
        <v>23.651284866254684</v>
      </c>
      <c r="M561">
        <f t="shared" si="58"/>
        <v>3.5810768052735022E-4</v>
      </c>
      <c r="N561">
        <f t="shared" si="59"/>
        <v>0.99964189231947265</v>
      </c>
      <c r="O561">
        <f t="shared" si="60"/>
        <v>0.99964189231947265</v>
      </c>
      <c r="P561">
        <f t="shared" si="61"/>
        <v>-3.581718163949343E-4</v>
      </c>
    </row>
    <row r="562" spans="1:16" x14ac:dyDescent="0.3">
      <c r="A562" s="2">
        <f t="shared" si="62"/>
        <v>558</v>
      </c>
      <c r="B562" s="2">
        <v>20</v>
      </c>
      <c r="C562" s="2">
        <v>0.6</v>
      </c>
      <c r="D562" s="2">
        <v>15</v>
      </c>
      <c r="E562" s="2">
        <v>1</v>
      </c>
      <c r="F562" s="2">
        <v>90</v>
      </c>
      <c r="G562" s="2">
        <v>1</v>
      </c>
      <c r="H562" s="2">
        <v>20</v>
      </c>
      <c r="I562" s="2">
        <v>1</v>
      </c>
      <c r="J562" s="2">
        <v>0</v>
      </c>
      <c r="K562">
        <f t="shared" si="56"/>
        <v>36.114555343448615</v>
      </c>
      <c r="L562">
        <f t="shared" si="57"/>
        <v>23.651284866254684</v>
      </c>
      <c r="M562">
        <f t="shared" si="58"/>
        <v>0.99999613393878561</v>
      </c>
      <c r="N562">
        <f t="shared" si="59"/>
        <v>3.8660612144020199E-6</v>
      </c>
      <c r="O562">
        <f t="shared" si="60"/>
        <v>0.99999613393878561</v>
      </c>
      <c r="P562">
        <f t="shared" si="61"/>
        <v>-3.8660686876198474E-6</v>
      </c>
    </row>
    <row r="563" spans="1:16" x14ac:dyDescent="0.3">
      <c r="A563" s="2">
        <f t="shared" si="62"/>
        <v>559</v>
      </c>
      <c r="B563" s="2">
        <v>25</v>
      </c>
      <c r="C563" s="2">
        <v>0.4</v>
      </c>
      <c r="D563" s="2">
        <v>20</v>
      </c>
      <c r="E563" s="2">
        <v>1</v>
      </c>
      <c r="F563" s="2">
        <v>45</v>
      </c>
      <c r="G563" s="2">
        <v>1</v>
      </c>
      <c r="H563" s="2">
        <v>10</v>
      </c>
      <c r="I563" s="2">
        <v>0</v>
      </c>
      <c r="J563" s="2">
        <v>1</v>
      </c>
      <c r="K563">
        <f t="shared" si="56"/>
        <v>10.980159508785752</v>
      </c>
      <c r="L563">
        <f t="shared" si="57"/>
        <v>37.358014774933686</v>
      </c>
      <c r="M563">
        <f t="shared" si="58"/>
        <v>3.5014103685725788E-12</v>
      </c>
      <c r="N563">
        <f t="shared" si="59"/>
        <v>0.99999999999649858</v>
      </c>
      <c r="O563">
        <f t="shared" si="60"/>
        <v>0.99999999999649858</v>
      </c>
      <c r="P563">
        <f t="shared" si="61"/>
        <v>-3.5014213750689486E-12</v>
      </c>
    </row>
    <row r="564" spans="1:16" x14ac:dyDescent="0.3">
      <c r="A564" s="2">
        <f t="shared" si="62"/>
        <v>560</v>
      </c>
      <c r="B564" s="2">
        <v>20</v>
      </c>
      <c r="C564" s="2">
        <v>0.8</v>
      </c>
      <c r="D564" s="2">
        <v>15</v>
      </c>
      <c r="E564" s="2">
        <v>1</v>
      </c>
      <c r="F564" s="2">
        <v>60</v>
      </c>
      <c r="G564" s="2">
        <v>1</v>
      </c>
      <c r="H564" s="2">
        <v>10</v>
      </c>
      <c r="I564" s="2">
        <v>0</v>
      </c>
      <c r="J564" s="2">
        <v>1</v>
      </c>
      <c r="K564">
        <f t="shared" si="56"/>
        <v>12.886118939701717</v>
      </c>
      <c r="L564">
        <f t="shared" si="57"/>
        <v>20.101732515882446</v>
      </c>
      <c r="M564">
        <f t="shared" si="58"/>
        <v>7.3447960813862172E-4</v>
      </c>
      <c r="N564">
        <f t="shared" si="59"/>
        <v>0.99926552039186145</v>
      </c>
      <c r="O564">
        <f t="shared" si="60"/>
        <v>0.99926552039186145</v>
      </c>
      <c r="P564">
        <f t="shared" si="61"/>
        <v>-7.3474947043292778E-4</v>
      </c>
    </row>
    <row r="565" spans="1:16" x14ac:dyDescent="0.3">
      <c r="A565" s="2">
        <f t="shared" si="62"/>
        <v>561</v>
      </c>
      <c r="B565" s="2">
        <v>15</v>
      </c>
      <c r="C565" s="2">
        <v>0.4</v>
      </c>
      <c r="D565" s="2">
        <v>25</v>
      </c>
      <c r="E565" s="2">
        <v>1</v>
      </c>
      <c r="F565" s="2">
        <v>45</v>
      </c>
      <c r="G565" s="2">
        <v>0.8</v>
      </c>
      <c r="H565" s="2">
        <v>20</v>
      </c>
      <c r="I565" s="2">
        <v>0</v>
      </c>
      <c r="J565" s="2">
        <v>1</v>
      </c>
      <c r="K565">
        <f t="shared" si="56"/>
        <v>33.227524315876146</v>
      </c>
      <c r="L565">
        <f t="shared" si="57"/>
        <v>43.567658895085373</v>
      </c>
      <c r="M565">
        <f t="shared" si="58"/>
        <v>3.2308930216372588E-5</v>
      </c>
      <c r="N565">
        <f t="shared" si="59"/>
        <v>0.99996769106978367</v>
      </c>
      <c r="O565">
        <f t="shared" si="60"/>
        <v>0.99996769106978367</v>
      </c>
      <c r="P565">
        <f t="shared" si="61"/>
        <v>-3.2309452161057509E-5</v>
      </c>
    </row>
    <row r="566" spans="1:16" x14ac:dyDescent="0.3">
      <c r="A566" s="2">
        <f t="shared" si="62"/>
        <v>562</v>
      </c>
      <c r="B566" s="2">
        <v>20</v>
      </c>
      <c r="C566" s="2">
        <v>0.4</v>
      </c>
      <c r="D566" s="2">
        <v>20</v>
      </c>
      <c r="E566" s="2">
        <v>1</v>
      </c>
      <c r="F566" s="2">
        <v>60</v>
      </c>
      <c r="G566" s="2">
        <v>1</v>
      </c>
      <c r="H566" s="2">
        <v>10</v>
      </c>
      <c r="I566" s="2">
        <v>0</v>
      </c>
      <c r="J566" s="2">
        <v>1</v>
      </c>
      <c r="K566">
        <f t="shared" si="56"/>
        <v>12.886118939701717</v>
      </c>
      <c r="L566">
        <f t="shared" si="57"/>
        <v>36.042170295548658</v>
      </c>
      <c r="M566">
        <f t="shared" si="58"/>
        <v>8.7791945540637254E-11</v>
      </c>
      <c r="N566">
        <f t="shared" si="59"/>
        <v>0.999999999912208</v>
      </c>
      <c r="O566">
        <f t="shared" si="60"/>
        <v>0.999999999912208</v>
      </c>
      <c r="P566">
        <f t="shared" si="61"/>
        <v>-8.7791995899112597E-11</v>
      </c>
    </row>
    <row r="567" spans="1:16" x14ac:dyDescent="0.3">
      <c r="A567" s="2">
        <f t="shared" si="62"/>
        <v>563</v>
      </c>
      <c r="B567" s="2">
        <v>20</v>
      </c>
      <c r="C567" s="2">
        <v>0.6</v>
      </c>
      <c r="D567" s="2">
        <v>20</v>
      </c>
      <c r="E567" s="2">
        <v>1</v>
      </c>
      <c r="F567" s="2">
        <v>90</v>
      </c>
      <c r="G567" s="2">
        <v>0.8</v>
      </c>
      <c r="H567" s="2">
        <v>40</v>
      </c>
      <c r="I567" s="2">
        <v>1</v>
      </c>
      <c r="J567" s="2">
        <v>0</v>
      </c>
      <c r="K567">
        <f t="shared" si="56"/>
        <v>77.778437692453977</v>
      </c>
      <c r="L567">
        <f t="shared" si="57"/>
        <v>32.49261794517642</v>
      </c>
      <c r="M567">
        <f t="shared" si="58"/>
        <v>1</v>
      </c>
      <c r="N567">
        <f t="shared" si="59"/>
        <v>2.1508908660141351E-20</v>
      </c>
      <c r="O567">
        <f t="shared" si="60"/>
        <v>1</v>
      </c>
      <c r="P567">
        <f t="shared" si="61"/>
        <v>0</v>
      </c>
    </row>
    <row r="568" spans="1:16" x14ac:dyDescent="0.3">
      <c r="A568" s="2">
        <f t="shared" si="62"/>
        <v>564</v>
      </c>
      <c r="B568" s="2">
        <v>25</v>
      </c>
      <c r="C568" s="2">
        <v>0.6</v>
      </c>
      <c r="D568" s="2">
        <v>15</v>
      </c>
      <c r="E568" s="2">
        <v>1</v>
      </c>
      <c r="F568" s="2">
        <v>90</v>
      </c>
      <c r="G568" s="2">
        <v>1</v>
      </c>
      <c r="H568" s="2">
        <v>40</v>
      </c>
      <c r="I568" s="2">
        <v>1</v>
      </c>
      <c r="J568" s="2">
        <v>0</v>
      </c>
      <c r="K568">
        <f t="shared" si="56"/>
        <v>74.947590427278556</v>
      </c>
      <c r="L568">
        <f t="shared" si="57"/>
        <v>24.967129345639712</v>
      </c>
      <c r="M568">
        <f t="shared" si="58"/>
        <v>1</v>
      </c>
      <c r="N568">
        <f t="shared" si="59"/>
        <v>1.9668061121837329E-22</v>
      </c>
      <c r="O568">
        <f t="shared" si="60"/>
        <v>1</v>
      </c>
      <c r="P568">
        <f t="shared" si="61"/>
        <v>0</v>
      </c>
    </row>
    <row r="569" spans="1:16" x14ac:dyDescent="0.3">
      <c r="A569" s="2">
        <f t="shared" si="62"/>
        <v>565</v>
      </c>
      <c r="B569" s="2">
        <v>20</v>
      </c>
      <c r="C569" s="2">
        <v>0.4</v>
      </c>
      <c r="D569" s="2">
        <v>20</v>
      </c>
      <c r="E569" s="2">
        <v>1</v>
      </c>
      <c r="F569" s="2">
        <v>90</v>
      </c>
      <c r="G569" s="2">
        <v>0.9</v>
      </c>
      <c r="H569" s="2">
        <v>10</v>
      </c>
      <c r="I569" s="2">
        <v>0</v>
      </c>
      <c r="J569" s="2">
        <v>1</v>
      </c>
      <c r="K569">
        <f t="shared" si="56"/>
        <v>18.113461434121358</v>
      </c>
      <c r="L569">
        <f t="shared" si="57"/>
        <v>36.042170295548658</v>
      </c>
      <c r="M569">
        <f t="shared" si="58"/>
        <v>1.6355381046064499E-8</v>
      </c>
      <c r="N569">
        <f t="shared" si="59"/>
        <v>0.99999998364461895</v>
      </c>
      <c r="O569">
        <f t="shared" si="60"/>
        <v>0.99999998364461895</v>
      </c>
      <c r="P569">
        <f t="shared" si="61"/>
        <v>-1.6355381183242435E-8</v>
      </c>
    </row>
    <row r="570" spans="1:16" x14ac:dyDescent="0.3">
      <c r="A570" s="2">
        <f t="shared" si="62"/>
        <v>566</v>
      </c>
      <c r="B570" s="2">
        <v>25</v>
      </c>
      <c r="C570" s="2">
        <v>0.6</v>
      </c>
      <c r="D570" s="2">
        <v>15</v>
      </c>
      <c r="E570" s="2">
        <v>1</v>
      </c>
      <c r="F570" s="2">
        <v>90</v>
      </c>
      <c r="G570" s="2">
        <v>0.8</v>
      </c>
      <c r="H570" s="2">
        <v>10</v>
      </c>
      <c r="I570" s="2">
        <v>0</v>
      </c>
      <c r="J570" s="2">
        <v>1</v>
      </c>
      <c r="K570">
        <f t="shared" si="56"/>
        <v>19.528885066709069</v>
      </c>
      <c r="L570">
        <f t="shared" si="57"/>
        <v>24.967129345639712</v>
      </c>
      <c r="M570">
        <f t="shared" si="58"/>
        <v>4.328293322853E-3</v>
      </c>
      <c r="N570">
        <f t="shared" si="59"/>
        <v>0.99567170667714688</v>
      </c>
      <c r="O570">
        <f t="shared" si="60"/>
        <v>0.99567170667714688</v>
      </c>
      <c r="P570">
        <f t="shared" si="61"/>
        <v>-4.3376875013708283E-3</v>
      </c>
    </row>
    <row r="571" spans="1:16" x14ac:dyDescent="0.3">
      <c r="A571" s="2">
        <f t="shared" si="62"/>
        <v>567</v>
      </c>
      <c r="B571" s="2">
        <v>25</v>
      </c>
      <c r="C571" s="2">
        <v>0.6</v>
      </c>
      <c r="D571" s="2">
        <v>15</v>
      </c>
      <c r="E571" s="2">
        <v>1</v>
      </c>
      <c r="F571" s="2">
        <v>90</v>
      </c>
      <c r="G571" s="2">
        <v>1</v>
      </c>
      <c r="H571" s="2">
        <v>10</v>
      </c>
      <c r="I571" s="2">
        <v>0</v>
      </c>
      <c r="J571" s="2">
        <v>1</v>
      </c>
      <c r="K571">
        <f t="shared" si="56"/>
        <v>16.698037801533648</v>
      </c>
      <c r="L571">
        <f t="shared" si="57"/>
        <v>24.967129345639712</v>
      </c>
      <c r="M571">
        <f t="shared" si="58"/>
        <v>2.5625235705222811E-4</v>
      </c>
      <c r="N571">
        <f t="shared" si="59"/>
        <v>0.99974374764294771</v>
      </c>
      <c r="O571">
        <f t="shared" si="60"/>
        <v>0.99974374764294771</v>
      </c>
      <c r="P571">
        <f t="shared" si="61"/>
        <v>-2.5628519529757475E-4</v>
      </c>
    </row>
    <row r="572" spans="1:16" x14ac:dyDescent="0.3">
      <c r="A572" s="2">
        <f t="shared" si="62"/>
        <v>568</v>
      </c>
      <c r="B572" s="2">
        <v>20</v>
      </c>
      <c r="C572" s="2">
        <v>0.8</v>
      </c>
      <c r="D572" s="2">
        <v>20</v>
      </c>
      <c r="E572" s="2">
        <v>1</v>
      </c>
      <c r="F572" s="2">
        <v>45</v>
      </c>
      <c r="G572" s="2">
        <v>0.9</v>
      </c>
      <c r="H572" s="2">
        <v>40</v>
      </c>
      <c r="I572" s="2">
        <v>1</v>
      </c>
      <c r="J572" s="2">
        <v>0</v>
      </c>
      <c r="K572">
        <f t="shared" si="56"/>
        <v>70.645135767118376</v>
      </c>
      <c r="L572">
        <f t="shared" si="57"/>
        <v>28.943065594804185</v>
      </c>
      <c r="M572">
        <f t="shared" si="58"/>
        <v>1</v>
      </c>
      <c r="N572">
        <f t="shared" si="59"/>
        <v>7.7449931898542787E-19</v>
      </c>
      <c r="O572">
        <f t="shared" si="60"/>
        <v>1</v>
      </c>
      <c r="P572">
        <f t="shared" si="61"/>
        <v>0</v>
      </c>
    </row>
    <row r="573" spans="1:16" x14ac:dyDescent="0.3">
      <c r="A573" s="2">
        <f t="shared" si="62"/>
        <v>569</v>
      </c>
      <c r="B573" s="2">
        <v>25</v>
      </c>
      <c r="C573" s="2">
        <v>0.8</v>
      </c>
      <c r="D573" s="2">
        <v>15</v>
      </c>
      <c r="E573" s="2">
        <v>1</v>
      </c>
      <c r="F573" s="2">
        <v>90</v>
      </c>
      <c r="G573" s="2">
        <v>1</v>
      </c>
      <c r="H573" s="2">
        <v>20</v>
      </c>
      <c r="I573" s="2">
        <v>1</v>
      </c>
      <c r="J573" s="2">
        <v>0</v>
      </c>
      <c r="K573">
        <f t="shared" si="56"/>
        <v>36.114555343448615</v>
      </c>
      <c r="L573">
        <f t="shared" si="57"/>
        <v>21.417576995267474</v>
      </c>
      <c r="M573">
        <f t="shared" si="58"/>
        <v>0.99999958582562753</v>
      </c>
      <c r="N573">
        <f t="shared" si="59"/>
        <v>4.141743724285211E-7</v>
      </c>
      <c r="O573">
        <f t="shared" si="60"/>
        <v>0.99999958582562753</v>
      </c>
      <c r="P573">
        <f t="shared" si="61"/>
        <v>-4.1417445823527725E-7</v>
      </c>
    </row>
    <row r="574" spans="1:16" x14ac:dyDescent="0.3">
      <c r="A574" s="2">
        <f t="shared" si="62"/>
        <v>570</v>
      </c>
      <c r="B574" s="2">
        <v>15</v>
      </c>
      <c r="C574" s="2">
        <v>0.8</v>
      </c>
      <c r="D574" s="2">
        <v>25</v>
      </c>
      <c r="E574" s="2">
        <v>1</v>
      </c>
      <c r="F574" s="2">
        <v>60</v>
      </c>
      <c r="G574" s="2">
        <v>0.8</v>
      </c>
      <c r="H574" s="2">
        <v>40</v>
      </c>
      <c r="I574" s="2">
        <v>1</v>
      </c>
      <c r="J574" s="2">
        <v>0</v>
      </c>
      <c r="K574">
        <f t="shared" si="56"/>
        <v>73.96651883062205</v>
      </c>
      <c r="L574">
        <f t="shared" si="57"/>
        <v>36.468554194340904</v>
      </c>
      <c r="M574">
        <f t="shared" si="58"/>
        <v>1</v>
      </c>
      <c r="N574">
        <f t="shared" si="59"/>
        <v>5.1860998703626268E-17</v>
      </c>
      <c r="O574">
        <f t="shared" si="60"/>
        <v>1</v>
      </c>
      <c r="P574">
        <f t="shared" si="61"/>
        <v>0</v>
      </c>
    </row>
    <row r="575" spans="1:16" x14ac:dyDescent="0.3">
      <c r="A575" s="2">
        <f t="shared" si="62"/>
        <v>571</v>
      </c>
      <c r="B575" s="2">
        <v>20</v>
      </c>
      <c r="C575" s="2">
        <v>0.4</v>
      </c>
      <c r="D575" s="2">
        <v>15</v>
      </c>
      <c r="E575" s="2">
        <v>1</v>
      </c>
      <c r="F575" s="2">
        <v>60</v>
      </c>
      <c r="G575" s="2">
        <v>0.8</v>
      </c>
      <c r="H575" s="2">
        <v>40</v>
      </c>
      <c r="I575" s="2">
        <v>1</v>
      </c>
      <c r="J575" s="2">
        <v>0</v>
      </c>
      <c r="K575">
        <f t="shared" si="56"/>
        <v>73.96651883062205</v>
      </c>
      <c r="L575">
        <f t="shared" si="57"/>
        <v>27.200837216626923</v>
      </c>
      <c r="M575">
        <f t="shared" si="58"/>
        <v>1</v>
      </c>
      <c r="N575">
        <f t="shared" si="59"/>
        <v>4.8969146272280039E-21</v>
      </c>
      <c r="O575">
        <f t="shared" si="60"/>
        <v>1</v>
      </c>
      <c r="P575">
        <f t="shared" si="61"/>
        <v>0</v>
      </c>
    </row>
    <row r="576" spans="1:16" x14ac:dyDescent="0.3">
      <c r="A576" s="2">
        <f t="shared" si="62"/>
        <v>572</v>
      </c>
      <c r="B576" s="2">
        <v>20</v>
      </c>
      <c r="C576" s="2">
        <v>0.8</v>
      </c>
      <c r="D576" s="2">
        <v>20</v>
      </c>
      <c r="E576" s="2">
        <v>1</v>
      </c>
      <c r="F576" s="2">
        <v>45</v>
      </c>
      <c r="G576" s="2">
        <v>0.9</v>
      </c>
      <c r="H576" s="2">
        <v>40</v>
      </c>
      <c r="I576" s="2">
        <v>1</v>
      </c>
      <c r="J576" s="2">
        <v>0</v>
      </c>
      <c r="K576">
        <f t="shared" si="56"/>
        <v>70.645135767118376</v>
      </c>
      <c r="L576">
        <f t="shared" si="57"/>
        <v>28.943065594804185</v>
      </c>
      <c r="M576">
        <f t="shared" si="58"/>
        <v>1</v>
      </c>
      <c r="N576">
        <f t="shared" si="59"/>
        <v>7.7449931898542787E-19</v>
      </c>
      <c r="O576">
        <f t="shared" si="60"/>
        <v>1</v>
      </c>
      <c r="P576">
        <f t="shared" si="61"/>
        <v>0</v>
      </c>
    </row>
    <row r="577" spans="1:16" x14ac:dyDescent="0.3">
      <c r="A577" s="2">
        <f t="shared" si="62"/>
        <v>573</v>
      </c>
      <c r="B577" s="2">
        <v>25</v>
      </c>
      <c r="C577" s="2">
        <v>0.4</v>
      </c>
      <c r="D577" s="2">
        <v>15</v>
      </c>
      <c r="E577" s="2">
        <v>1</v>
      </c>
      <c r="F577" s="2">
        <v>90</v>
      </c>
      <c r="G577" s="2">
        <v>1</v>
      </c>
      <c r="H577" s="2">
        <v>40</v>
      </c>
      <c r="I577" s="2">
        <v>1</v>
      </c>
      <c r="J577" s="2">
        <v>0</v>
      </c>
      <c r="K577">
        <f t="shared" si="56"/>
        <v>74.947590427278556</v>
      </c>
      <c r="L577">
        <f t="shared" si="57"/>
        <v>28.51668169601195</v>
      </c>
      <c r="M577">
        <f t="shared" si="58"/>
        <v>1</v>
      </c>
      <c r="N577">
        <f t="shared" si="59"/>
        <v>6.8440401441363536E-21</v>
      </c>
      <c r="O577">
        <f t="shared" si="60"/>
        <v>1</v>
      </c>
      <c r="P577">
        <f t="shared" si="61"/>
        <v>0</v>
      </c>
    </row>
    <row r="578" spans="1:16" x14ac:dyDescent="0.3">
      <c r="A578" s="2">
        <f t="shared" si="62"/>
        <v>574</v>
      </c>
      <c r="B578" s="2">
        <v>15</v>
      </c>
      <c r="C578" s="2">
        <v>0.8</v>
      </c>
      <c r="D578" s="2">
        <v>25</v>
      </c>
      <c r="E578" s="2">
        <v>1</v>
      </c>
      <c r="F578" s="2">
        <v>45</v>
      </c>
      <c r="G578" s="2">
        <v>0.8</v>
      </c>
      <c r="H578" s="2">
        <v>20</v>
      </c>
      <c r="I578" s="2">
        <v>0</v>
      </c>
      <c r="J578" s="2">
        <v>1</v>
      </c>
      <c r="K578">
        <f t="shared" si="56"/>
        <v>33.227524315876146</v>
      </c>
      <c r="L578">
        <f t="shared" si="57"/>
        <v>36.468554194340904</v>
      </c>
      <c r="M578">
        <f t="shared" si="58"/>
        <v>3.7650557156219656E-2</v>
      </c>
      <c r="N578">
        <f t="shared" si="59"/>
        <v>0.96234944284378032</v>
      </c>
      <c r="O578">
        <f t="shared" si="60"/>
        <v>0.96234944284378032</v>
      </c>
      <c r="P578">
        <f t="shared" si="61"/>
        <v>-3.8377648075003226E-2</v>
      </c>
    </row>
    <row r="579" spans="1:16" x14ac:dyDescent="0.3">
      <c r="A579" s="2">
        <f t="shared" si="62"/>
        <v>575</v>
      </c>
      <c r="B579" s="2">
        <v>15</v>
      </c>
      <c r="C579" s="2">
        <v>0.8</v>
      </c>
      <c r="D579" s="2">
        <v>20</v>
      </c>
      <c r="E579" s="2">
        <v>1</v>
      </c>
      <c r="F579" s="2">
        <v>60</v>
      </c>
      <c r="G579" s="2">
        <v>1</v>
      </c>
      <c r="H579" s="2">
        <v>40</v>
      </c>
      <c r="I579" s="2">
        <v>1</v>
      </c>
      <c r="J579" s="2">
        <v>0</v>
      </c>
      <c r="K579">
        <f t="shared" si="56"/>
        <v>71.135671565446629</v>
      </c>
      <c r="L579">
        <f t="shared" si="57"/>
        <v>27.627221115419157</v>
      </c>
      <c r="M579">
        <f t="shared" si="58"/>
        <v>1</v>
      </c>
      <c r="N579">
        <f t="shared" si="59"/>
        <v>1.2720964873288746E-19</v>
      </c>
      <c r="O579">
        <f t="shared" si="60"/>
        <v>1</v>
      </c>
      <c r="P579">
        <f t="shared" si="61"/>
        <v>0</v>
      </c>
    </row>
    <row r="580" spans="1:16" x14ac:dyDescent="0.3">
      <c r="A580" s="2">
        <f t="shared" si="62"/>
        <v>576</v>
      </c>
      <c r="B580" s="2">
        <v>25</v>
      </c>
      <c r="C580" s="2">
        <v>0.8</v>
      </c>
      <c r="D580" s="2">
        <v>20</v>
      </c>
      <c r="E580" s="2">
        <v>1</v>
      </c>
      <c r="F580" s="2">
        <v>90</v>
      </c>
      <c r="G580" s="2">
        <v>0.8</v>
      </c>
      <c r="H580" s="2">
        <v>10</v>
      </c>
      <c r="I580" s="2">
        <v>0</v>
      </c>
      <c r="J580" s="2">
        <v>1</v>
      </c>
      <c r="K580">
        <f t="shared" si="56"/>
        <v>19.528885066709069</v>
      </c>
      <c r="L580">
        <f t="shared" si="57"/>
        <v>30.258910074189213</v>
      </c>
      <c r="M580">
        <f t="shared" si="58"/>
        <v>2.1877608539106527E-5</v>
      </c>
      <c r="N580">
        <f t="shared" si="59"/>
        <v>0.99997812239146089</v>
      </c>
      <c r="O580">
        <f t="shared" si="60"/>
        <v>0.99997812239146089</v>
      </c>
      <c r="P580">
        <f t="shared" si="61"/>
        <v>-2.1877847857479646E-5</v>
      </c>
    </row>
    <row r="581" spans="1:16" x14ac:dyDescent="0.3">
      <c r="A581" s="2">
        <f t="shared" si="62"/>
        <v>577</v>
      </c>
      <c r="B581" s="2">
        <v>20</v>
      </c>
      <c r="C581" s="2">
        <v>0.6</v>
      </c>
      <c r="D581" s="2">
        <v>25</v>
      </c>
      <c r="E581" s="2">
        <v>1</v>
      </c>
      <c r="F581" s="2">
        <v>45</v>
      </c>
      <c r="G581" s="2">
        <v>0.8</v>
      </c>
      <c r="H581" s="2">
        <v>20</v>
      </c>
      <c r="I581" s="2">
        <v>0</v>
      </c>
      <c r="J581" s="2">
        <v>1</v>
      </c>
      <c r="K581">
        <f t="shared" si="56"/>
        <v>33.227524315876146</v>
      </c>
      <c r="L581">
        <f t="shared" si="57"/>
        <v>41.33395102409817</v>
      </c>
      <c r="M581">
        <f t="shared" si="58"/>
        <v>3.0150370377232146E-4</v>
      </c>
      <c r="N581">
        <f t="shared" si="59"/>
        <v>0.99969849629622765</v>
      </c>
      <c r="O581">
        <f t="shared" si="60"/>
        <v>0.99969849629622765</v>
      </c>
      <c r="P581">
        <f t="shared" si="61"/>
        <v>-3.0154916515212789E-4</v>
      </c>
    </row>
    <row r="582" spans="1:16" x14ac:dyDescent="0.3">
      <c r="A582" s="2">
        <f t="shared" si="62"/>
        <v>578</v>
      </c>
      <c r="B582" s="2">
        <v>20</v>
      </c>
      <c r="C582" s="2">
        <v>0.6</v>
      </c>
      <c r="D582" s="2">
        <v>15</v>
      </c>
      <c r="E582" s="2">
        <v>1</v>
      </c>
      <c r="F582" s="2">
        <v>60</v>
      </c>
      <c r="G582" s="2">
        <v>0.9</v>
      </c>
      <c r="H582" s="2">
        <v>20</v>
      </c>
      <c r="I582" s="2">
        <v>1</v>
      </c>
      <c r="J582" s="2">
        <v>0</v>
      </c>
      <c r="K582">
        <f t="shared" ref="K582:K645" si="63">$F$3*F582+$G$3*G582+$H$3*H582</f>
        <v>33.718060114204398</v>
      </c>
      <c r="L582">
        <f t="shared" ref="L582:L645" si="64">$B$3*B582+$C$3*C582+$D$3*D582+$E$3*E582</f>
        <v>23.651284866254684</v>
      </c>
      <c r="M582">
        <f t="shared" ref="M582:M645" si="65">EXP(K582)/(EXP(K582)+EXP(L582))</f>
        <v>0.99995753446339419</v>
      </c>
      <c r="N582">
        <f t="shared" ref="N582:N645" si="66">EXP(L582)/(EXP(L582)+EXP(K582))</f>
        <v>4.2465536605750862E-5</v>
      </c>
      <c r="O582">
        <f t="shared" ref="O582:O645" si="67">I582*M582+J582*N582</f>
        <v>0.99995753446339419</v>
      </c>
      <c r="P582">
        <f t="shared" ref="P582:P645" si="68">LN(O582)</f>
        <v>-4.2466438292233639E-5</v>
      </c>
    </row>
    <row r="583" spans="1:16" x14ac:dyDescent="0.3">
      <c r="A583" s="2">
        <f t="shared" ref="A583:A646" si="69">A582+1</f>
        <v>579</v>
      </c>
      <c r="B583" s="2">
        <v>15</v>
      </c>
      <c r="C583" s="2">
        <v>0.4</v>
      </c>
      <c r="D583" s="2">
        <v>25</v>
      </c>
      <c r="E583" s="2">
        <v>1</v>
      </c>
      <c r="F583" s="2">
        <v>60</v>
      </c>
      <c r="G583" s="2">
        <v>0.8</v>
      </c>
      <c r="H583" s="2">
        <v>20</v>
      </c>
      <c r="I583" s="2">
        <v>0</v>
      </c>
      <c r="J583" s="2">
        <v>1</v>
      </c>
      <c r="K583">
        <f t="shared" si="63"/>
        <v>35.133483746792109</v>
      </c>
      <c r="L583">
        <f t="shared" si="64"/>
        <v>43.567658895085373</v>
      </c>
      <c r="M583">
        <f t="shared" si="65"/>
        <v>2.1726506829857856E-4</v>
      </c>
      <c r="N583">
        <f t="shared" si="66"/>
        <v>0.99978273493170144</v>
      </c>
      <c r="O583">
        <f t="shared" si="67"/>
        <v>0.99978273493170144</v>
      </c>
      <c r="P583">
        <f t="shared" si="68"/>
        <v>-2.1728867377266545E-4</v>
      </c>
    </row>
    <row r="584" spans="1:16" x14ac:dyDescent="0.3">
      <c r="A584" s="2">
        <f t="shared" si="69"/>
        <v>580</v>
      </c>
      <c r="B584" s="2">
        <v>25</v>
      </c>
      <c r="C584" s="2">
        <v>0.8</v>
      </c>
      <c r="D584" s="2">
        <v>25</v>
      </c>
      <c r="E584" s="2">
        <v>1</v>
      </c>
      <c r="F584" s="2">
        <v>45</v>
      </c>
      <c r="G584" s="2">
        <v>0.9</v>
      </c>
      <c r="H584" s="2">
        <v>40</v>
      </c>
      <c r="I584" s="2">
        <v>1</v>
      </c>
      <c r="J584" s="2">
        <v>0</v>
      </c>
      <c r="K584">
        <f t="shared" si="63"/>
        <v>70.645135767118376</v>
      </c>
      <c r="L584">
        <f t="shared" si="64"/>
        <v>39.100243153110959</v>
      </c>
      <c r="M584">
        <f t="shared" si="65"/>
        <v>0.99999999999998002</v>
      </c>
      <c r="N584">
        <f t="shared" si="66"/>
        <v>1.9963064295191815E-14</v>
      </c>
      <c r="O584">
        <f t="shared" si="67"/>
        <v>0.99999999999998002</v>
      </c>
      <c r="P584">
        <f t="shared" si="68"/>
        <v>-1.9984014443253017E-14</v>
      </c>
    </row>
    <row r="585" spans="1:16" x14ac:dyDescent="0.3">
      <c r="A585" s="2">
        <f t="shared" si="69"/>
        <v>581</v>
      </c>
      <c r="B585" s="2">
        <v>20</v>
      </c>
      <c r="C585" s="2">
        <v>0.6</v>
      </c>
      <c r="D585" s="2">
        <v>15</v>
      </c>
      <c r="E585" s="2">
        <v>1</v>
      </c>
      <c r="F585" s="2">
        <v>45</v>
      </c>
      <c r="G585" s="2">
        <v>1</v>
      </c>
      <c r="H585" s="2">
        <v>10</v>
      </c>
      <c r="I585" s="2">
        <v>0</v>
      </c>
      <c r="J585" s="2">
        <v>1</v>
      </c>
      <c r="K585">
        <f t="shared" si="63"/>
        <v>10.980159508785752</v>
      </c>
      <c r="L585">
        <f t="shared" si="64"/>
        <v>23.651284866254684</v>
      </c>
      <c r="M585">
        <f t="shared" si="65"/>
        <v>3.1405001164434461E-6</v>
      </c>
      <c r="N585">
        <f t="shared" si="66"/>
        <v>0.99999685949988348</v>
      </c>
      <c r="O585">
        <f t="shared" si="67"/>
        <v>0.99999685949988348</v>
      </c>
      <c r="P585">
        <f t="shared" si="68"/>
        <v>-3.1405050478971583E-6</v>
      </c>
    </row>
    <row r="586" spans="1:16" x14ac:dyDescent="0.3">
      <c r="A586" s="2">
        <f t="shared" si="69"/>
        <v>582</v>
      </c>
      <c r="B586" s="2">
        <v>15</v>
      </c>
      <c r="C586" s="2">
        <v>0.8</v>
      </c>
      <c r="D586" s="2">
        <v>25</v>
      </c>
      <c r="E586" s="2">
        <v>1</v>
      </c>
      <c r="F586" s="2">
        <v>45</v>
      </c>
      <c r="G586" s="2">
        <v>0.8</v>
      </c>
      <c r="H586" s="2">
        <v>40</v>
      </c>
      <c r="I586" s="2">
        <v>1</v>
      </c>
      <c r="J586" s="2">
        <v>0</v>
      </c>
      <c r="K586">
        <f t="shared" si="63"/>
        <v>72.060559399706079</v>
      </c>
      <c r="L586">
        <f t="shared" si="64"/>
        <v>36.468554194340904</v>
      </c>
      <c r="M586">
        <f t="shared" si="65"/>
        <v>0.99999999999999967</v>
      </c>
      <c r="N586">
        <f t="shared" si="66"/>
        <v>3.4880968857525286E-16</v>
      </c>
      <c r="O586">
        <f t="shared" si="67"/>
        <v>0.99999999999999967</v>
      </c>
      <c r="P586">
        <f t="shared" si="68"/>
        <v>-3.3306690738754701E-16</v>
      </c>
    </row>
    <row r="587" spans="1:16" x14ac:dyDescent="0.3">
      <c r="A587" s="2">
        <f t="shared" si="69"/>
        <v>583</v>
      </c>
      <c r="B587" s="2">
        <v>25</v>
      </c>
      <c r="C587" s="2">
        <v>0.6</v>
      </c>
      <c r="D587" s="2">
        <v>20</v>
      </c>
      <c r="E587" s="2">
        <v>1</v>
      </c>
      <c r="F587" s="2">
        <v>90</v>
      </c>
      <c r="G587" s="2">
        <v>0.9</v>
      </c>
      <c r="H587" s="2">
        <v>20</v>
      </c>
      <c r="I587" s="2">
        <v>1</v>
      </c>
      <c r="J587" s="2">
        <v>0</v>
      </c>
      <c r="K587">
        <f t="shared" si="63"/>
        <v>37.529978976036332</v>
      </c>
      <c r="L587">
        <f t="shared" si="64"/>
        <v>33.808462424561448</v>
      </c>
      <c r="M587">
        <f t="shared" si="65"/>
        <v>0.97637443003251501</v>
      </c>
      <c r="N587">
        <f t="shared" si="66"/>
        <v>2.3625569967485011E-2</v>
      </c>
      <c r="O587">
        <f t="shared" si="67"/>
        <v>0.97637443003251501</v>
      </c>
      <c r="P587">
        <f t="shared" si="68"/>
        <v>-2.3909128810632386E-2</v>
      </c>
    </row>
    <row r="588" spans="1:16" x14ac:dyDescent="0.3">
      <c r="A588" s="2">
        <f t="shared" si="69"/>
        <v>584</v>
      </c>
      <c r="B588" s="2">
        <v>15</v>
      </c>
      <c r="C588" s="2">
        <v>0.6</v>
      </c>
      <c r="D588" s="2">
        <v>15</v>
      </c>
      <c r="E588" s="2">
        <v>1</v>
      </c>
      <c r="F588" s="2">
        <v>45</v>
      </c>
      <c r="G588" s="2">
        <v>1</v>
      </c>
      <c r="H588" s="2">
        <v>40</v>
      </c>
      <c r="I588" s="2">
        <v>1</v>
      </c>
      <c r="J588" s="2">
        <v>0</v>
      </c>
      <c r="K588">
        <f t="shared" si="63"/>
        <v>69.229712134530658</v>
      </c>
      <c r="L588">
        <f t="shared" si="64"/>
        <v>22.335440386869656</v>
      </c>
      <c r="M588">
        <f t="shared" si="65"/>
        <v>1</v>
      </c>
      <c r="N588">
        <f t="shared" si="66"/>
        <v>4.3060250018788979E-21</v>
      </c>
      <c r="O588">
        <f t="shared" si="67"/>
        <v>1</v>
      </c>
      <c r="P588">
        <f t="shared" si="68"/>
        <v>0</v>
      </c>
    </row>
    <row r="589" spans="1:16" x14ac:dyDescent="0.3">
      <c r="A589" s="2">
        <f t="shared" si="69"/>
        <v>585</v>
      </c>
      <c r="B589" s="2">
        <v>20</v>
      </c>
      <c r="C589" s="2">
        <v>0.8</v>
      </c>
      <c r="D589" s="2">
        <v>20</v>
      </c>
      <c r="E589" s="2">
        <v>1</v>
      </c>
      <c r="F589" s="2">
        <v>60</v>
      </c>
      <c r="G589" s="2">
        <v>0.8</v>
      </c>
      <c r="H589" s="2">
        <v>20</v>
      </c>
      <c r="I589" s="2">
        <v>1</v>
      </c>
      <c r="J589" s="2">
        <v>0</v>
      </c>
      <c r="K589">
        <f t="shared" si="63"/>
        <v>35.133483746792109</v>
      </c>
      <c r="L589">
        <f t="shared" si="64"/>
        <v>28.943065594804185</v>
      </c>
      <c r="M589">
        <f t="shared" si="65"/>
        <v>0.99795521989933356</v>
      </c>
      <c r="N589">
        <f t="shared" si="66"/>
        <v>2.044780100666433E-3</v>
      </c>
      <c r="O589">
        <f t="shared" si="67"/>
        <v>0.99795521989933356</v>
      </c>
      <c r="P589">
        <f t="shared" si="68"/>
        <v>-2.0468735177016145E-3</v>
      </c>
    </row>
    <row r="590" spans="1:16" x14ac:dyDescent="0.3">
      <c r="A590" s="2">
        <f t="shared" si="69"/>
        <v>586</v>
      </c>
      <c r="B590" s="2">
        <v>15</v>
      </c>
      <c r="C590" s="2">
        <v>0.4</v>
      </c>
      <c r="D590" s="2">
        <v>15</v>
      </c>
      <c r="E590" s="2">
        <v>1</v>
      </c>
      <c r="F590" s="2">
        <v>45</v>
      </c>
      <c r="G590" s="2">
        <v>1</v>
      </c>
      <c r="H590" s="2">
        <v>10</v>
      </c>
      <c r="I590" s="2">
        <v>0</v>
      </c>
      <c r="J590" s="2">
        <v>1</v>
      </c>
      <c r="K590">
        <f t="shared" si="63"/>
        <v>10.980159508785752</v>
      </c>
      <c r="L590">
        <f t="shared" si="64"/>
        <v>25.884992737241895</v>
      </c>
      <c r="M590">
        <f t="shared" si="65"/>
        <v>3.364441870056331E-7</v>
      </c>
      <c r="N590">
        <f t="shared" si="66"/>
        <v>0.99999966355581305</v>
      </c>
      <c r="O590">
        <f t="shared" si="67"/>
        <v>0.99999966355581305</v>
      </c>
      <c r="P590">
        <f t="shared" si="68"/>
        <v>-3.3644424355202344E-7</v>
      </c>
    </row>
    <row r="591" spans="1:16" x14ac:dyDescent="0.3">
      <c r="A591" s="2">
        <f t="shared" si="69"/>
        <v>587</v>
      </c>
      <c r="B591" s="2">
        <v>20</v>
      </c>
      <c r="C591" s="2">
        <v>0.8</v>
      </c>
      <c r="D591" s="2">
        <v>25</v>
      </c>
      <c r="E591" s="2">
        <v>1</v>
      </c>
      <c r="F591" s="2">
        <v>90</v>
      </c>
      <c r="G591" s="2">
        <v>0.9</v>
      </c>
      <c r="H591" s="2">
        <v>40</v>
      </c>
      <c r="I591" s="2">
        <v>1</v>
      </c>
      <c r="J591" s="2">
        <v>0</v>
      </c>
      <c r="K591">
        <f t="shared" si="63"/>
        <v>76.363014059866273</v>
      </c>
      <c r="L591">
        <f t="shared" si="64"/>
        <v>37.784398673725924</v>
      </c>
      <c r="M591">
        <f t="shared" si="65"/>
        <v>1</v>
      </c>
      <c r="N591">
        <f t="shared" si="66"/>
        <v>1.7600305991127189E-17</v>
      </c>
      <c r="O591">
        <f t="shared" si="67"/>
        <v>1</v>
      </c>
      <c r="P591">
        <f t="shared" si="68"/>
        <v>0</v>
      </c>
    </row>
    <row r="592" spans="1:16" x14ac:dyDescent="0.3">
      <c r="A592" s="2">
        <f t="shared" si="69"/>
        <v>588</v>
      </c>
      <c r="B592" s="2">
        <v>15</v>
      </c>
      <c r="C592" s="2">
        <v>0.6</v>
      </c>
      <c r="D592" s="2">
        <v>15</v>
      </c>
      <c r="E592" s="2">
        <v>1</v>
      </c>
      <c r="F592" s="2">
        <v>90</v>
      </c>
      <c r="G592" s="2">
        <v>0.9</v>
      </c>
      <c r="H592" s="2">
        <v>20</v>
      </c>
      <c r="I592" s="2">
        <v>1</v>
      </c>
      <c r="J592" s="2">
        <v>0</v>
      </c>
      <c r="K592">
        <f t="shared" si="63"/>
        <v>37.529978976036332</v>
      </c>
      <c r="L592">
        <f t="shared" si="64"/>
        <v>22.335440386869656</v>
      </c>
      <c r="M592">
        <f t="shared" si="65"/>
        <v>0.99999974817686499</v>
      </c>
      <c r="N592">
        <f t="shared" si="66"/>
        <v>2.518231350231451E-7</v>
      </c>
      <c r="O592">
        <f t="shared" si="67"/>
        <v>0.99999974817686499</v>
      </c>
      <c r="P592">
        <f t="shared" si="68"/>
        <v>-2.5182316671871528E-7</v>
      </c>
    </row>
    <row r="593" spans="1:16" x14ac:dyDescent="0.3">
      <c r="A593" s="2">
        <f t="shared" si="69"/>
        <v>589</v>
      </c>
      <c r="B593" s="2">
        <v>20</v>
      </c>
      <c r="C593" s="2">
        <v>0.4</v>
      </c>
      <c r="D593" s="2">
        <v>20</v>
      </c>
      <c r="E593" s="2">
        <v>1</v>
      </c>
      <c r="F593" s="2">
        <v>60</v>
      </c>
      <c r="G593" s="2">
        <v>0.8</v>
      </c>
      <c r="H593" s="2">
        <v>20</v>
      </c>
      <c r="I593" s="2">
        <v>0</v>
      </c>
      <c r="J593" s="2">
        <v>1</v>
      </c>
      <c r="K593">
        <f t="shared" si="63"/>
        <v>35.133483746792109</v>
      </c>
      <c r="L593">
        <f t="shared" si="64"/>
        <v>36.042170295548658</v>
      </c>
      <c r="M593">
        <f t="shared" si="65"/>
        <v>0.28726868517373011</v>
      </c>
      <c r="N593">
        <f t="shared" si="66"/>
        <v>0.71273131482626984</v>
      </c>
      <c r="O593">
        <f t="shared" si="67"/>
        <v>0.71273131482626984</v>
      </c>
      <c r="P593">
        <f t="shared" si="68"/>
        <v>-0.33865076713976749</v>
      </c>
    </row>
    <row r="594" spans="1:16" x14ac:dyDescent="0.3">
      <c r="A594" s="2">
        <f t="shared" si="69"/>
        <v>590</v>
      </c>
      <c r="B594" s="2">
        <v>25</v>
      </c>
      <c r="C594" s="2">
        <v>0.4</v>
      </c>
      <c r="D594" s="2">
        <v>20</v>
      </c>
      <c r="E594" s="2">
        <v>1</v>
      </c>
      <c r="F594" s="2">
        <v>60</v>
      </c>
      <c r="G594" s="2">
        <v>0.8</v>
      </c>
      <c r="H594" s="2">
        <v>40</v>
      </c>
      <c r="I594" s="2">
        <v>1</v>
      </c>
      <c r="J594" s="2">
        <v>0</v>
      </c>
      <c r="K594">
        <f t="shared" si="63"/>
        <v>73.96651883062205</v>
      </c>
      <c r="L594">
        <f t="shared" si="64"/>
        <v>37.358014774933686</v>
      </c>
      <c r="M594">
        <f t="shared" si="65"/>
        <v>0.99999999999999989</v>
      </c>
      <c r="N594">
        <f t="shared" si="66"/>
        <v>1.2622015172263576E-16</v>
      </c>
      <c r="O594">
        <f t="shared" si="67"/>
        <v>0.99999999999999989</v>
      </c>
      <c r="P594">
        <f t="shared" si="68"/>
        <v>-1.1102230246251565E-16</v>
      </c>
    </row>
    <row r="595" spans="1:16" x14ac:dyDescent="0.3">
      <c r="A595" s="2">
        <f t="shared" si="69"/>
        <v>591</v>
      </c>
      <c r="B595" s="2">
        <v>20</v>
      </c>
      <c r="C595" s="2">
        <v>0.4</v>
      </c>
      <c r="D595" s="2">
        <v>20</v>
      </c>
      <c r="E595" s="2">
        <v>1</v>
      </c>
      <c r="F595" s="2">
        <v>45</v>
      </c>
      <c r="G595" s="2">
        <v>0.9</v>
      </c>
      <c r="H595" s="2">
        <v>10</v>
      </c>
      <c r="I595" s="2">
        <v>0</v>
      </c>
      <c r="J595" s="2">
        <v>1</v>
      </c>
      <c r="K595">
        <f t="shared" si="63"/>
        <v>12.395583141373463</v>
      </c>
      <c r="L595">
        <f t="shared" si="64"/>
        <v>36.042170295548658</v>
      </c>
      <c r="M595">
        <f t="shared" si="65"/>
        <v>5.3754853558807626E-11</v>
      </c>
      <c r="N595">
        <f t="shared" si="66"/>
        <v>0.99999999994624511</v>
      </c>
      <c r="O595">
        <f t="shared" si="67"/>
        <v>0.99999999994624511</v>
      </c>
      <c r="P595">
        <f t="shared" si="68"/>
        <v>-5.3754889430048086E-11</v>
      </c>
    </row>
    <row r="596" spans="1:16" x14ac:dyDescent="0.3">
      <c r="A596" s="2">
        <f t="shared" si="69"/>
        <v>592</v>
      </c>
      <c r="B596" s="2">
        <v>15</v>
      </c>
      <c r="C596" s="2">
        <v>0.4</v>
      </c>
      <c r="D596" s="2">
        <v>15</v>
      </c>
      <c r="E596" s="2">
        <v>1</v>
      </c>
      <c r="F596" s="2">
        <v>60</v>
      </c>
      <c r="G596" s="2">
        <v>0.8</v>
      </c>
      <c r="H596" s="2">
        <v>40</v>
      </c>
      <c r="I596" s="2">
        <v>1</v>
      </c>
      <c r="J596" s="2">
        <v>0</v>
      </c>
      <c r="K596">
        <f t="shared" si="63"/>
        <v>73.96651883062205</v>
      </c>
      <c r="L596">
        <f t="shared" si="64"/>
        <v>25.884992737241895</v>
      </c>
      <c r="M596">
        <f t="shared" si="65"/>
        <v>1</v>
      </c>
      <c r="N596">
        <f t="shared" si="66"/>
        <v>1.3135860756232028E-21</v>
      </c>
      <c r="O596">
        <f t="shared" si="67"/>
        <v>1</v>
      </c>
      <c r="P596">
        <f t="shared" si="68"/>
        <v>0</v>
      </c>
    </row>
    <row r="597" spans="1:16" x14ac:dyDescent="0.3">
      <c r="A597" s="2">
        <f t="shared" si="69"/>
        <v>593</v>
      </c>
      <c r="B597" s="2">
        <v>15</v>
      </c>
      <c r="C597" s="2">
        <v>0.8</v>
      </c>
      <c r="D597" s="2">
        <v>20</v>
      </c>
      <c r="E597" s="2">
        <v>1</v>
      </c>
      <c r="F597" s="2">
        <v>60</v>
      </c>
      <c r="G597" s="2">
        <v>0.8</v>
      </c>
      <c r="H597" s="2">
        <v>20</v>
      </c>
      <c r="I597" s="2">
        <v>1</v>
      </c>
      <c r="J597" s="2">
        <v>0</v>
      </c>
      <c r="K597">
        <f t="shared" si="63"/>
        <v>35.133483746792109</v>
      </c>
      <c r="L597">
        <f t="shared" si="64"/>
        <v>27.627221115419157</v>
      </c>
      <c r="M597">
        <f t="shared" si="65"/>
        <v>0.99945067049860925</v>
      </c>
      <c r="N597">
        <f t="shared" si="66"/>
        <v>5.49329501390673E-4</v>
      </c>
      <c r="O597">
        <f t="shared" si="67"/>
        <v>0.99945067049860925</v>
      </c>
      <c r="P597">
        <f t="shared" si="68"/>
        <v>-5.4948043811982859E-4</v>
      </c>
    </row>
    <row r="598" spans="1:16" x14ac:dyDescent="0.3">
      <c r="A598" s="2">
        <f t="shared" si="69"/>
        <v>594</v>
      </c>
      <c r="B598" s="2">
        <v>25</v>
      </c>
      <c r="C598" s="2">
        <v>0.6</v>
      </c>
      <c r="D598" s="2">
        <v>15</v>
      </c>
      <c r="E598" s="2">
        <v>1</v>
      </c>
      <c r="F598" s="2">
        <v>45</v>
      </c>
      <c r="G598" s="2">
        <v>1</v>
      </c>
      <c r="H598" s="2">
        <v>40</v>
      </c>
      <c r="I598" s="2">
        <v>1</v>
      </c>
      <c r="J598" s="2">
        <v>0</v>
      </c>
      <c r="K598">
        <f t="shared" si="63"/>
        <v>69.229712134530658</v>
      </c>
      <c r="L598">
        <f t="shared" si="64"/>
        <v>24.967129345639712</v>
      </c>
      <c r="M598">
        <f t="shared" si="65"/>
        <v>1</v>
      </c>
      <c r="N598">
        <f t="shared" si="66"/>
        <v>5.9841785072841197E-20</v>
      </c>
      <c r="O598">
        <f t="shared" si="67"/>
        <v>1</v>
      </c>
      <c r="P598">
        <f t="shared" si="68"/>
        <v>0</v>
      </c>
    </row>
    <row r="599" spans="1:16" x14ac:dyDescent="0.3">
      <c r="A599" s="2">
        <f t="shared" si="69"/>
        <v>595</v>
      </c>
      <c r="B599" s="2">
        <v>15</v>
      </c>
      <c r="C599" s="2">
        <v>0.4</v>
      </c>
      <c r="D599" s="2">
        <v>20</v>
      </c>
      <c r="E599" s="2">
        <v>1</v>
      </c>
      <c r="F599" s="2">
        <v>90</v>
      </c>
      <c r="G599" s="2">
        <v>1</v>
      </c>
      <c r="H599" s="2">
        <v>40</v>
      </c>
      <c r="I599" s="2">
        <v>1</v>
      </c>
      <c r="J599" s="2">
        <v>0</v>
      </c>
      <c r="K599">
        <f t="shared" si="63"/>
        <v>74.947590427278556</v>
      </c>
      <c r="L599">
        <f t="shared" si="64"/>
        <v>34.72632581616363</v>
      </c>
      <c r="M599">
        <f t="shared" si="65"/>
        <v>1</v>
      </c>
      <c r="N599">
        <f t="shared" si="66"/>
        <v>3.4050753302489832E-18</v>
      </c>
      <c r="O599">
        <f t="shared" si="67"/>
        <v>1</v>
      </c>
      <c r="P599">
        <f t="shared" si="68"/>
        <v>0</v>
      </c>
    </row>
    <row r="600" spans="1:16" x14ac:dyDescent="0.3">
      <c r="A600" s="2">
        <f t="shared" si="69"/>
        <v>596</v>
      </c>
      <c r="B600" s="2">
        <v>15</v>
      </c>
      <c r="C600" s="2">
        <v>0.6</v>
      </c>
      <c r="D600" s="2">
        <v>15</v>
      </c>
      <c r="E600" s="2">
        <v>1</v>
      </c>
      <c r="F600" s="2">
        <v>45</v>
      </c>
      <c r="G600" s="2">
        <v>1</v>
      </c>
      <c r="H600" s="2">
        <v>20</v>
      </c>
      <c r="I600" s="2">
        <v>1</v>
      </c>
      <c r="J600" s="2">
        <v>0</v>
      </c>
      <c r="K600">
        <f t="shared" si="63"/>
        <v>30.396677050700724</v>
      </c>
      <c r="L600">
        <f t="shared" si="64"/>
        <v>22.335440386869656</v>
      </c>
      <c r="M600">
        <f t="shared" si="65"/>
        <v>0.99968456318025534</v>
      </c>
      <c r="N600">
        <f t="shared" si="66"/>
        <v>3.1543681974472554E-4</v>
      </c>
      <c r="O600">
        <f t="shared" si="67"/>
        <v>0.99968456318025534</v>
      </c>
      <c r="P600">
        <f t="shared" si="68"/>
        <v>-3.1548658040279291E-4</v>
      </c>
    </row>
    <row r="601" spans="1:16" x14ac:dyDescent="0.3">
      <c r="A601" s="2">
        <f t="shared" si="69"/>
        <v>597</v>
      </c>
      <c r="B601" s="2">
        <v>20</v>
      </c>
      <c r="C601" s="2">
        <v>0.4</v>
      </c>
      <c r="D601" s="2">
        <v>15</v>
      </c>
      <c r="E601" s="2">
        <v>1</v>
      </c>
      <c r="F601" s="2">
        <v>60</v>
      </c>
      <c r="G601" s="2">
        <v>0.8</v>
      </c>
      <c r="H601" s="2">
        <v>40</v>
      </c>
      <c r="I601" s="2">
        <v>1</v>
      </c>
      <c r="J601" s="2">
        <v>0</v>
      </c>
      <c r="K601">
        <f t="shared" si="63"/>
        <v>73.96651883062205</v>
      </c>
      <c r="L601">
        <f t="shared" si="64"/>
        <v>27.200837216626923</v>
      </c>
      <c r="M601">
        <f t="shared" si="65"/>
        <v>1</v>
      </c>
      <c r="N601">
        <f t="shared" si="66"/>
        <v>4.8969146272280039E-21</v>
      </c>
      <c r="O601">
        <f t="shared" si="67"/>
        <v>1</v>
      </c>
      <c r="P601">
        <f t="shared" si="68"/>
        <v>0</v>
      </c>
    </row>
    <row r="602" spans="1:16" x14ac:dyDescent="0.3">
      <c r="A602" s="2">
        <f t="shared" si="69"/>
        <v>598</v>
      </c>
      <c r="B602" s="2">
        <v>25</v>
      </c>
      <c r="C602" s="2">
        <v>0.6</v>
      </c>
      <c r="D602" s="2">
        <v>25</v>
      </c>
      <c r="E602" s="2">
        <v>1</v>
      </c>
      <c r="F602" s="2">
        <v>45</v>
      </c>
      <c r="G602" s="2">
        <v>0.8</v>
      </c>
      <c r="H602" s="2">
        <v>20</v>
      </c>
      <c r="I602" s="2">
        <v>0</v>
      </c>
      <c r="J602" s="2">
        <v>1</v>
      </c>
      <c r="K602">
        <f t="shared" si="63"/>
        <v>33.227524315876146</v>
      </c>
      <c r="L602">
        <f t="shared" si="64"/>
        <v>42.649795503483197</v>
      </c>
      <c r="M602">
        <f t="shared" si="65"/>
        <v>8.0895522106557075E-5</v>
      </c>
      <c r="N602">
        <f t="shared" si="66"/>
        <v>0.99991910447789345</v>
      </c>
      <c r="O602">
        <f t="shared" si="67"/>
        <v>0.99991910447789345</v>
      </c>
      <c r="P602">
        <f t="shared" si="68"/>
        <v>-8.0898794325771496E-5</v>
      </c>
    </row>
    <row r="603" spans="1:16" x14ac:dyDescent="0.3">
      <c r="A603" s="2">
        <f t="shared" si="69"/>
        <v>599</v>
      </c>
      <c r="B603" s="2">
        <v>25</v>
      </c>
      <c r="C603" s="2">
        <v>0.8</v>
      </c>
      <c r="D603" s="2">
        <v>15</v>
      </c>
      <c r="E603" s="2">
        <v>1</v>
      </c>
      <c r="F603" s="2">
        <v>60</v>
      </c>
      <c r="G603" s="2">
        <v>0.9</v>
      </c>
      <c r="H603" s="2">
        <v>20</v>
      </c>
      <c r="I603" s="2">
        <v>1</v>
      </c>
      <c r="J603" s="2">
        <v>0</v>
      </c>
      <c r="K603">
        <f t="shared" si="63"/>
        <v>33.718060114204398</v>
      </c>
      <c r="L603">
        <f t="shared" si="64"/>
        <v>21.417576995267474</v>
      </c>
      <c r="M603">
        <f t="shared" si="65"/>
        <v>0.99999545047473803</v>
      </c>
      <c r="N603">
        <f t="shared" si="66"/>
        <v>4.5495252619747412E-6</v>
      </c>
      <c r="O603">
        <f t="shared" si="67"/>
        <v>0.99999545047473803</v>
      </c>
      <c r="P603">
        <f t="shared" si="68"/>
        <v>-4.549535611086836E-6</v>
      </c>
    </row>
    <row r="604" spans="1:16" x14ac:dyDescent="0.3">
      <c r="A604" s="2">
        <f t="shared" si="69"/>
        <v>600</v>
      </c>
      <c r="B604" s="2">
        <v>20</v>
      </c>
      <c r="C604" s="2">
        <v>0.6</v>
      </c>
      <c r="D604" s="2">
        <v>25</v>
      </c>
      <c r="E604" s="2">
        <v>1</v>
      </c>
      <c r="F604" s="2">
        <v>60</v>
      </c>
      <c r="G604" s="2">
        <v>0.9</v>
      </c>
      <c r="H604" s="2">
        <v>20</v>
      </c>
      <c r="I604" s="2">
        <v>0</v>
      </c>
      <c r="J604" s="2">
        <v>1</v>
      </c>
      <c r="K604">
        <f t="shared" si="63"/>
        <v>33.718060114204398</v>
      </c>
      <c r="L604">
        <f t="shared" si="64"/>
        <v>41.33395102409817</v>
      </c>
      <c r="M604">
        <f t="shared" si="65"/>
        <v>4.9231916113999595E-4</v>
      </c>
      <c r="N604">
        <f t="shared" si="66"/>
        <v>0.99950768083885999</v>
      </c>
      <c r="O604">
        <f t="shared" si="67"/>
        <v>0.99950768083885999</v>
      </c>
      <c r="P604">
        <f t="shared" si="68"/>
        <v>-4.9244039000871794E-4</v>
      </c>
    </row>
    <row r="605" spans="1:16" x14ac:dyDescent="0.3">
      <c r="A605" s="2">
        <f t="shared" si="69"/>
        <v>601</v>
      </c>
      <c r="B605" s="2">
        <v>20</v>
      </c>
      <c r="C605" s="2">
        <v>0.6</v>
      </c>
      <c r="D605" s="2">
        <v>15</v>
      </c>
      <c r="E605" s="2">
        <v>1</v>
      </c>
      <c r="F605" s="2">
        <v>45</v>
      </c>
      <c r="G605" s="2">
        <v>0.8</v>
      </c>
      <c r="H605" s="2">
        <v>20</v>
      </c>
      <c r="I605" s="2">
        <v>1</v>
      </c>
      <c r="J605" s="2">
        <v>0</v>
      </c>
      <c r="K605">
        <f t="shared" si="63"/>
        <v>33.227524315876146</v>
      </c>
      <c r="L605">
        <f t="shared" si="64"/>
        <v>23.651284866254684</v>
      </c>
      <c r="M605">
        <f t="shared" si="65"/>
        <v>0.99993064753063088</v>
      </c>
      <c r="N605">
        <f t="shared" si="66"/>
        <v>6.9352469369135501E-5</v>
      </c>
      <c r="O605">
        <f t="shared" si="67"/>
        <v>0.99993064753063088</v>
      </c>
      <c r="P605">
        <f t="shared" si="68"/>
        <v>-6.935487436282093E-5</v>
      </c>
    </row>
    <row r="606" spans="1:16" x14ac:dyDescent="0.3">
      <c r="A606" s="2">
        <f t="shared" si="69"/>
        <v>602</v>
      </c>
      <c r="B606" s="2">
        <v>20</v>
      </c>
      <c r="C606" s="2">
        <v>0.6</v>
      </c>
      <c r="D606" s="2">
        <v>25</v>
      </c>
      <c r="E606" s="2">
        <v>1</v>
      </c>
      <c r="F606" s="2">
        <v>90</v>
      </c>
      <c r="G606" s="2">
        <v>0.9</v>
      </c>
      <c r="H606" s="2">
        <v>10</v>
      </c>
      <c r="I606" s="2">
        <v>0</v>
      </c>
      <c r="J606" s="2">
        <v>1</v>
      </c>
      <c r="K606">
        <f t="shared" si="63"/>
        <v>18.113461434121358</v>
      </c>
      <c r="L606">
        <f t="shared" si="64"/>
        <v>41.33395102409817</v>
      </c>
      <c r="M606">
        <f t="shared" si="65"/>
        <v>8.2313203475751203E-11</v>
      </c>
      <c r="N606">
        <f t="shared" si="66"/>
        <v>0.99999999991768684</v>
      </c>
      <c r="O606">
        <f t="shared" si="67"/>
        <v>0.99999999991768684</v>
      </c>
      <c r="P606">
        <f t="shared" si="68"/>
        <v>-8.2313156294423925E-11</v>
      </c>
    </row>
    <row r="607" spans="1:16" x14ac:dyDescent="0.3">
      <c r="A607" s="2">
        <f t="shared" si="69"/>
        <v>603</v>
      </c>
      <c r="B607" s="2">
        <v>20</v>
      </c>
      <c r="C607" s="2">
        <v>0.6</v>
      </c>
      <c r="D607" s="2">
        <v>15</v>
      </c>
      <c r="E607" s="2">
        <v>1</v>
      </c>
      <c r="F607" s="2">
        <v>45</v>
      </c>
      <c r="G607" s="2">
        <v>1</v>
      </c>
      <c r="H607" s="2">
        <v>40</v>
      </c>
      <c r="I607" s="2">
        <v>1</v>
      </c>
      <c r="J607" s="2">
        <v>0</v>
      </c>
      <c r="K607">
        <f t="shared" si="63"/>
        <v>69.229712134530658</v>
      </c>
      <c r="L607">
        <f t="shared" si="64"/>
        <v>23.651284866254684</v>
      </c>
      <c r="M607">
        <f t="shared" si="65"/>
        <v>1</v>
      </c>
      <c r="N607">
        <f t="shared" si="66"/>
        <v>1.6052421084706116E-20</v>
      </c>
      <c r="O607">
        <f t="shared" si="67"/>
        <v>1</v>
      </c>
      <c r="P607">
        <f t="shared" si="68"/>
        <v>0</v>
      </c>
    </row>
    <row r="608" spans="1:16" x14ac:dyDescent="0.3">
      <c r="A608" s="2">
        <f t="shared" si="69"/>
        <v>604</v>
      </c>
      <c r="B608" s="2">
        <v>25</v>
      </c>
      <c r="C608" s="2">
        <v>0.6</v>
      </c>
      <c r="D608" s="2">
        <v>25</v>
      </c>
      <c r="E608" s="2">
        <v>1</v>
      </c>
      <c r="F608" s="2">
        <v>60</v>
      </c>
      <c r="G608" s="2">
        <v>0.9</v>
      </c>
      <c r="H608" s="2">
        <v>10</v>
      </c>
      <c r="I608" s="2">
        <v>0</v>
      </c>
      <c r="J608" s="2">
        <v>1</v>
      </c>
      <c r="K608">
        <f t="shared" si="63"/>
        <v>14.301542572289428</v>
      </c>
      <c r="L608">
        <f t="shared" si="64"/>
        <v>42.649795503483197</v>
      </c>
      <c r="M608">
        <f t="shared" si="65"/>
        <v>4.8810154280030355E-13</v>
      </c>
      <c r="N608">
        <f t="shared" si="66"/>
        <v>0.99999999999951195</v>
      </c>
      <c r="O608">
        <f t="shared" si="67"/>
        <v>0.99999999999951195</v>
      </c>
      <c r="P608">
        <f t="shared" si="68"/>
        <v>-4.8805404162533786E-13</v>
      </c>
    </row>
    <row r="609" spans="1:16" x14ac:dyDescent="0.3">
      <c r="A609" s="2">
        <f t="shared" si="69"/>
        <v>605</v>
      </c>
      <c r="B609" s="2">
        <v>15</v>
      </c>
      <c r="C609" s="2">
        <v>0.6</v>
      </c>
      <c r="D609" s="2">
        <v>20</v>
      </c>
      <c r="E609" s="2">
        <v>1</v>
      </c>
      <c r="F609" s="2">
        <v>45</v>
      </c>
      <c r="G609" s="2">
        <v>0.9</v>
      </c>
      <c r="H609" s="2">
        <v>10</v>
      </c>
      <c r="I609" s="2">
        <v>0</v>
      </c>
      <c r="J609" s="2">
        <v>1</v>
      </c>
      <c r="K609">
        <f t="shared" si="63"/>
        <v>12.395583141373463</v>
      </c>
      <c r="L609">
        <f t="shared" si="64"/>
        <v>31.176773465791396</v>
      </c>
      <c r="M609">
        <f t="shared" si="65"/>
        <v>6.9732088954961846E-9</v>
      </c>
      <c r="N609">
        <f t="shared" si="66"/>
        <v>0.9999999930267911</v>
      </c>
      <c r="O609">
        <f t="shared" si="67"/>
        <v>0.9999999930267911</v>
      </c>
      <c r="P609">
        <f t="shared" si="68"/>
        <v>-6.9732089235097686E-9</v>
      </c>
    </row>
    <row r="610" spans="1:16" x14ac:dyDescent="0.3">
      <c r="A610" s="2">
        <f t="shared" si="69"/>
        <v>606</v>
      </c>
      <c r="B610" s="2">
        <v>15</v>
      </c>
      <c r="C610" s="2">
        <v>0.8</v>
      </c>
      <c r="D610" s="2">
        <v>15</v>
      </c>
      <c r="E610" s="2">
        <v>1</v>
      </c>
      <c r="F610" s="2">
        <v>45</v>
      </c>
      <c r="G610" s="2">
        <v>1</v>
      </c>
      <c r="H610" s="2">
        <v>10</v>
      </c>
      <c r="I610" s="2">
        <v>0</v>
      </c>
      <c r="J610" s="2">
        <v>1</v>
      </c>
      <c r="K610">
        <f t="shared" si="63"/>
        <v>10.980159508785752</v>
      </c>
      <c r="L610">
        <f t="shared" si="64"/>
        <v>18.785888036497418</v>
      </c>
      <c r="M610">
        <f t="shared" si="65"/>
        <v>4.0722860821706697E-4</v>
      </c>
      <c r="N610">
        <f t="shared" si="66"/>
        <v>0.99959277139178293</v>
      </c>
      <c r="O610">
        <f t="shared" si="67"/>
        <v>0.99959277139178293</v>
      </c>
      <c r="P610">
        <f t="shared" si="68"/>
        <v>-4.0731154830455995E-4</v>
      </c>
    </row>
    <row r="611" spans="1:16" x14ac:dyDescent="0.3">
      <c r="A611" s="2">
        <f t="shared" si="69"/>
        <v>607</v>
      </c>
      <c r="B611" s="2">
        <v>25</v>
      </c>
      <c r="C611" s="2">
        <v>0.8</v>
      </c>
      <c r="D611" s="2">
        <v>25</v>
      </c>
      <c r="E611" s="2">
        <v>1</v>
      </c>
      <c r="F611" s="2">
        <v>90</v>
      </c>
      <c r="G611" s="2">
        <v>0.8</v>
      </c>
      <c r="H611" s="2">
        <v>20</v>
      </c>
      <c r="I611" s="2">
        <v>0</v>
      </c>
      <c r="J611" s="2">
        <v>1</v>
      </c>
      <c r="K611">
        <f t="shared" si="63"/>
        <v>38.945402608624036</v>
      </c>
      <c r="L611">
        <f t="shared" si="64"/>
        <v>39.100243153110959</v>
      </c>
      <c r="M611">
        <f t="shared" si="65"/>
        <v>0.46136702043908673</v>
      </c>
      <c r="N611">
        <f t="shared" si="66"/>
        <v>0.53863297956091327</v>
      </c>
      <c r="O611">
        <f t="shared" si="67"/>
        <v>0.53863297956091327</v>
      </c>
      <c r="P611">
        <f t="shared" si="68"/>
        <v>-0.61872086846863394</v>
      </c>
    </row>
    <row r="612" spans="1:16" x14ac:dyDescent="0.3">
      <c r="A612" s="2">
        <f t="shared" si="69"/>
        <v>608</v>
      </c>
      <c r="B612" s="2">
        <v>15</v>
      </c>
      <c r="C612" s="2">
        <v>0.6</v>
      </c>
      <c r="D612" s="2">
        <v>15</v>
      </c>
      <c r="E612" s="2">
        <v>1</v>
      </c>
      <c r="F612" s="2">
        <v>60</v>
      </c>
      <c r="G612" s="2">
        <v>0.8</v>
      </c>
      <c r="H612" s="2">
        <v>20</v>
      </c>
      <c r="I612" s="2">
        <v>1</v>
      </c>
      <c r="J612" s="2">
        <v>0</v>
      </c>
      <c r="K612">
        <f t="shared" si="63"/>
        <v>35.133483746792109</v>
      </c>
      <c r="L612">
        <f t="shared" si="64"/>
        <v>22.335440386869656</v>
      </c>
      <c r="M612">
        <f t="shared" si="65"/>
        <v>0.99999723382795325</v>
      </c>
      <c r="N612">
        <f t="shared" si="66"/>
        <v>2.7661720467427559E-6</v>
      </c>
      <c r="O612">
        <f t="shared" si="67"/>
        <v>0.99999723382795325</v>
      </c>
      <c r="P612">
        <f t="shared" si="68"/>
        <v>-2.7661758726140642E-6</v>
      </c>
    </row>
    <row r="613" spans="1:16" x14ac:dyDescent="0.3">
      <c r="A613" s="2">
        <f t="shared" si="69"/>
        <v>609</v>
      </c>
      <c r="B613" s="2">
        <v>25</v>
      </c>
      <c r="C613" s="2">
        <v>0.8</v>
      </c>
      <c r="D613" s="2">
        <v>20</v>
      </c>
      <c r="E613" s="2">
        <v>1</v>
      </c>
      <c r="F613" s="2">
        <v>45</v>
      </c>
      <c r="G613" s="2">
        <v>1</v>
      </c>
      <c r="H613" s="2">
        <v>20</v>
      </c>
      <c r="I613" s="2">
        <v>0</v>
      </c>
      <c r="J613" s="2">
        <v>1</v>
      </c>
      <c r="K613">
        <f t="shared" si="63"/>
        <v>30.396677050700724</v>
      </c>
      <c r="L613">
        <f t="shared" si="64"/>
        <v>30.258910074189213</v>
      </c>
      <c r="M613">
        <f t="shared" si="65"/>
        <v>0.53438737270921821</v>
      </c>
      <c r="N613">
        <f t="shared" si="66"/>
        <v>0.46561262729078179</v>
      </c>
      <c r="O613">
        <f t="shared" si="67"/>
        <v>0.46561262729078179</v>
      </c>
      <c r="P613">
        <f t="shared" si="68"/>
        <v>-0.76440126246277007</v>
      </c>
    </row>
    <row r="614" spans="1:16" x14ac:dyDescent="0.3">
      <c r="A614" s="2">
        <f t="shared" si="69"/>
        <v>610</v>
      </c>
      <c r="B614" s="2">
        <v>15</v>
      </c>
      <c r="C614" s="2">
        <v>0.8</v>
      </c>
      <c r="D614" s="2">
        <v>20</v>
      </c>
      <c r="E614" s="2">
        <v>1</v>
      </c>
      <c r="F614" s="2">
        <v>60</v>
      </c>
      <c r="G614" s="2">
        <v>0.9</v>
      </c>
      <c r="H614" s="2">
        <v>40</v>
      </c>
      <c r="I614" s="2">
        <v>1</v>
      </c>
      <c r="J614" s="2">
        <v>0</v>
      </c>
      <c r="K614">
        <f t="shared" si="63"/>
        <v>72.551095198034346</v>
      </c>
      <c r="L614">
        <f t="shared" si="64"/>
        <v>27.627221115419157</v>
      </c>
      <c r="M614">
        <f t="shared" si="65"/>
        <v>1</v>
      </c>
      <c r="N614">
        <f t="shared" si="66"/>
        <v>3.0889393429196996E-20</v>
      </c>
      <c r="O614">
        <f t="shared" si="67"/>
        <v>1</v>
      </c>
      <c r="P614">
        <f t="shared" si="68"/>
        <v>0</v>
      </c>
    </row>
    <row r="615" spans="1:16" x14ac:dyDescent="0.3">
      <c r="A615" s="2">
        <f t="shared" si="69"/>
        <v>611</v>
      </c>
      <c r="B615" s="2">
        <v>15</v>
      </c>
      <c r="C615" s="2">
        <v>0.4</v>
      </c>
      <c r="D615" s="2">
        <v>20</v>
      </c>
      <c r="E615" s="2">
        <v>1</v>
      </c>
      <c r="F615" s="2">
        <v>90</v>
      </c>
      <c r="G615" s="2">
        <v>1</v>
      </c>
      <c r="H615" s="2">
        <v>40</v>
      </c>
      <c r="I615" s="2">
        <v>1</v>
      </c>
      <c r="J615" s="2">
        <v>0</v>
      </c>
      <c r="K615">
        <f t="shared" si="63"/>
        <v>74.947590427278556</v>
      </c>
      <c r="L615">
        <f t="shared" si="64"/>
        <v>34.72632581616363</v>
      </c>
      <c r="M615">
        <f t="shared" si="65"/>
        <v>1</v>
      </c>
      <c r="N615">
        <f t="shared" si="66"/>
        <v>3.4050753302489832E-18</v>
      </c>
      <c r="O615">
        <f t="shared" si="67"/>
        <v>1</v>
      </c>
      <c r="P615">
        <f t="shared" si="68"/>
        <v>0</v>
      </c>
    </row>
    <row r="616" spans="1:16" x14ac:dyDescent="0.3">
      <c r="A616" s="2">
        <f t="shared" si="69"/>
        <v>612</v>
      </c>
      <c r="B616" s="2">
        <v>20</v>
      </c>
      <c r="C616" s="2">
        <v>0.8</v>
      </c>
      <c r="D616" s="2">
        <v>25</v>
      </c>
      <c r="E616" s="2">
        <v>1</v>
      </c>
      <c r="F616" s="2">
        <v>45</v>
      </c>
      <c r="G616" s="2">
        <v>0.9</v>
      </c>
      <c r="H616" s="2">
        <v>20</v>
      </c>
      <c r="I616" s="2">
        <v>0</v>
      </c>
      <c r="J616" s="2">
        <v>1</v>
      </c>
      <c r="K616">
        <f t="shared" si="63"/>
        <v>31.812100683288435</v>
      </c>
      <c r="L616">
        <f t="shared" si="64"/>
        <v>37.784398673725924</v>
      </c>
      <c r="M616">
        <f t="shared" si="65"/>
        <v>2.541900810177702E-3</v>
      </c>
      <c r="N616">
        <f t="shared" si="66"/>
        <v>0.99745809918982231</v>
      </c>
      <c r="O616">
        <f t="shared" si="67"/>
        <v>0.99745809918982231</v>
      </c>
      <c r="P616">
        <f t="shared" si="68"/>
        <v>-2.5451369251274308E-3</v>
      </c>
    </row>
    <row r="617" spans="1:16" x14ac:dyDescent="0.3">
      <c r="A617" s="2">
        <f t="shared" si="69"/>
        <v>613</v>
      </c>
      <c r="B617" s="2">
        <v>25</v>
      </c>
      <c r="C617" s="2">
        <v>0.6</v>
      </c>
      <c r="D617" s="2">
        <v>20</v>
      </c>
      <c r="E617" s="2">
        <v>1</v>
      </c>
      <c r="F617" s="2">
        <v>60</v>
      </c>
      <c r="G617" s="2">
        <v>1</v>
      </c>
      <c r="H617" s="2">
        <v>40</v>
      </c>
      <c r="I617" s="2">
        <v>1</v>
      </c>
      <c r="J617" s="2">
        <v>0</v>
      </c>
      <c r="K617">
        <f t="shared" si="63"/>
        <v>71.135671565446629</v>
      </c>
      <c r="L617">
        <f t="shared" si="64"/>
        <v>33.808462424561448</v>
      </c>
      <c r="M617">
        <f t="shared" si="65"/>
        <v>1</v>
      </c>
      <c r="N617">
        <f t="shared" si="66"/>
        <v>6.1517552033192073E-17</v>
      </c>
      <c r="O617">
        <f t="shared" si="67"/>
        <v>1</v>
      </c>
      <c r="P617">
        <f t="shared" si="68"/>
        <v>0</v>
      </c>
    </row>
    <row r="618" spans="1:16" x14ac:dyDescent="0.3">
      <c r="A618" s="2">
        <f t="shared" si="69"/>
        <v>614</v>
      </c>
      <c r="B618" s="2">
        <v>15</v>
      </c>
      <c r="C618" s="2">
        <v>0.4</v>
      </c>
      <c r="D618" s="2">
        <v>20</v>
      </c>
      <c r="E618" s="2">
        <v>1</v>
      </c>
      <c r="F618" s="2">
        <v>90</v>
      </c>
      <c r="G618" s="2">
        <v>0.8</v>
      </c>
      <c r="H618" s="2">
        <v>40</v>
      </c>
      <c r="I618" s="2">
        <v>1</v>
      </c>
      <c r="J618" s="2">
        <v>0</v>
      </c>
      <c r="K618">
        <f t="shared" si="63"/>
        <v>77.778437692453977</v>
      </c>
      <c r="L618">
        <f t="shared" si="64"/>
        <v>34.72632581616363</v>
      </c>
      <c r="M618">
        <f t="shared" si="65"/>
        <v>1</v>
      </c>
      <c r="N618">
        <f t="shared" si="66"/>
        <v>2.007730321155067E-19</v>
      </c>
      <c r="O618">
        <f t="shared" si="67"/>
        <v>1</v>
      </c>
      <c r="P618">
        <f t="shared" si="68"/>
        <v>0</v>
      </c>
    </row>
    <row r="619" spans="1:16" x14ac:dyDescent="0.3">
      <c r="A619" s="2">
        <f t="shared" si="69"/>
        <v>615</v>
      </c>
      <c r="B619" s="2">
        <v>25</v>
      </c>
      <c r="C619" s="2">
        <v>0.4</v>
      </c>
      <c r="D619" s="2">
        <v>15</v>
      </c>
      <c r="E619" s="2">
        <v>1</v>
      </c>
      <c r="F619" s="2">
        <v>90</v>
      </c>
      <c r="G619" s="2">
        <v>1</v>
      </c>
      <c r="H619" s="2">
        <v>40</v>
      </c>
      <c r="I619" s="2">
        <v>1</v>
      </c>
      <c r="J619" s="2">
        <v>0</v>
      </c>
      <c r="K619">
        <f t="shared" si="63"/>
        <v>74.947590427278556</v>
      </c>
      <c r="L619">
        <f t="shared" si="64"/>
        <v>28.51668169601195</v>
      </c>
      <c r="M619">
        <f t="shared" si="65"/>
        <v>1</v>
      </c>
      <c r="N619">
        <f t="shared" si="66"/>
        <v>6.8440401441363536E-21</v>
      </c>
      <c r="O619">
        <f t="shared" si="67"/>
        <v>1</v>
      </c>
      <c r="P619">
        <f t="shared" si="68"/>
        <v>0</v>
      </c>
    </row>
    <row r="620" spans="1:16" x14ac:dyDescent="0.3">
      <c r="A620" s="2">
        <f t="shared" si="69"/>
        <v>616</v>
      </c>
      <c r="B620" s="2">
        <v>20</v>
      </c>
      <c r="C620" s="2">
        <v>0.4</v>
      </c>
      <c r="D620" s="2">
        <v>15</v>
      </c>
      <c r="E620" s="2">
        <v>1</v>
      </c>
      <c r="F620" s="2">
        <v>60</v>
      </c>
      <c r="G620" s="2">
        <v>0.9</v>
      </c>
      <c r="H620" s="2">
        <v>20</v>
      </c>
      <c r="I620" s="2">
        <v>1</v>
      </c>
      <c r="J620" s="2">
        <v>0</v>
      </c>
      <c r="K620">
        <f t="shared" si="63"/>
        <v>33.718060114204398</v>
      </c>
      <c r="L620">
        <f t="shared" si="64"/>
        <v>27.200837216626923</v>
      </c>
      <c r="M620">
        <f t="shared" si="65"/>
        <v>0.99852441325353247</v>
      </c>
      <c r="N620">
        <f t="shared" si="66"/>
        <v>1.4755867464675443E-3</v>
      </c>
      <c r="O620">
        <f t="shared" si="67"/>
        <v>0.99852441325353247</v>
      </c>
      <c r="P620">
        <f t="shared" si="68"/>
        <v>-1.4766764967366636E-3</v>
      </c>
    </row>
    <row r="621" spans="1:16" x14ac:dyDescent="0.3">
      <c r="A621" s="2">
        <f t="shared" si="69"/>
        <v>617</v>
      </c>
      <c r="B621" s="2">
        <v>20</v>
      </c>
      <c r="C621" s="2">
        <v>0.8</v>
      </c>
      <c r="D621" s="2">
        <v>25</v>
      </c>
      <c r="E621" s="2">
        <v>1</v>
      </c>
      <c r="F621" s="2">
        <v>90</v>
      </c>
      <c r="G621" s="2">
        <v>1</v>
      </c>
      <c r="H621" s="2">
        <v>20</v>
      </c>
      <c r="I621" s="2">
        <v>1</v>
      </c>
      <c r="J621" s="2">
        <v>0</v>
      </c>
      <c r="K621">
        <f t="shared" si="63"/>
        <v>36.114555343448615</v>
      </c>
      <c r="L621">
        <f t="shared" si="64"/>
        <v>37.784398673725924</v>
      </c>
      <c r="M621">
        <f t="shared" si="65"/>
        <v>0.15844506810372347</v>
      </c>
      <c r="N621">
        <f t="shared" si="66"/>
        <v>0.8415549318962765</v>
      </c>
      <c r="O621">
        <f t="shared" si="67"/>
        <v>0.15844506810372347</v>
      </c>
      <c r="P621">
        <f t="shared" si="68"/>
        <v>-1.8423473192133546</v>
      </c>
    </row>
    <row r="622" spans="1:16" x14ac:dyDescent="0.3">
      <c r="A622" s="2">
        <f t="shared" si="69"/>
        <v>618</v>
      </c>
      <c r="B622" s="2">
        <v>20</v>
      </c>
      <c r="C622" s="2">
        <v>0.6</v>
      </c>
      <c r="D622" s="2">
        <v>15</v>
      </c>
      <c r="E622" s="2">
        <v>1</v>
      </c>
      <c r="F622" s="2">
        <v>45</v>
      </c>
      <c r="G622" s="2">
        <v>0.9</v>
      </c>
      <c r="H622" s="2">
        <v>20</v>
      </c>
      <c r="I622" s="2">
        <v>1</v>
      </c>
      <c r="J622" s="2">
        <v>0</v>
      </c>
      <c r="K622">
        <f t="shared" si="63"/>
        <v>31.812100683288435</v>
      </c>
      <c r="L622">
        <f t="shared" si="64"/>
        <v>23.651284866254684</v>
      </c>
      <c r="M622">
        <f t="shared" si="65"/>
        <v>0.99971445228229905</v>
      </c>
      <c r="N622">
        <f t="shared" si="66"/>
        <v>2.8554771770089983E-4</v>
      </c>
      <c r="O622">
        <f t="shared" si="67"/>
        <v>0.99971445228229905</v>
      </c>
      <c r="P622">
        <f t="shared" si="68"/>
        <v>-2.8558849421310482E-4</v>
      </c>
    </row>
    <row r="623" spans="1:16" x14ac:dyDescent="0.3">
      <c r="A623" s="2">
        <f t="shared" si="69"/>
        <v>619</v>
      </c>
      <c r="B623" s="2">
        <v>25</v>
      </c>
      <c r="C623" s="2">
        <v>0.8</v>
      </c>
      <c r="D623" s="2">
        <v>25</v>
      </c>
      <c r="E623" s="2">
        <v>1</v>
      </c>
      <c r="F623" s="2">
        <v>60</v>
      </c>
      <c r="G623" s="2">
        <v>0.8</v>
      </c>
      <c r="H623" s="2">
        <v>40</v>
      </c>
      <c r="I623" s="2">
        <v>1</v>
      </c>
      <c r="J623" s="2">
        <v>0</v>
      </c>
      <c r="K623">
        <f t="shared" si="63"/>
        <v>73.96651883062205</v>
      </c>
      <c r="L623">
        <f t="shared" si="64"/>
        <v>39.100243153110959</v>
      </c>
      <c r="M623">
        <f t="shared" si="65"/>
        <v>0.99999999999999933</v>
      </c>
      <c r="N623">
        <f t="shared" si="66"/>
        <v>7.2072380832232291E-16</v>
      </c>
      <c r="O623">
        <f t="shared" si="67"/>
        <v>0.99999999999999933</v>
      </c>
      <c r="P623">
        <f t="shared" si="68"/>
        <v>-6.6613381477509412E-16</v>
      </c>
    </row>
    <row r="624" spans="1:16" x14ac:dyDescent="0.3">
      <c r="A624" s="2">
        <f t="shared" si="69"/>
        <v>620</v>
      </c>
      <c r="B624" s="2">
        <v>25</v>
      </c>
      <c r="C624" s="2">
        <v>0.6</v>
      </c>
      <c r="D624" s="2">
        <v>15</v>
      </c>
      <c r="E624" s="2">
        <v>1</v>
      </c>
      <c r="F624" s="2">
        <v>60</v>
      </c>
      <c r="G624" s="2">
        <v>1</v>
      </c>
      <c r="H624" s="2">
        <v>40</v>
      </c>
      <c r="I624" s="2">
        <v>1</v>
      </c>
      <c r="J624" s="2">
        <v>0</v>
      </c>
      <c r="K624">
        <f t="shared" si="63"/>
        <v>71.135671565446629</v>
      </c>
      <c r="L624">
        <f t="shared" si="64"/>
        <v>24.967129345639712</v>
      </c>
      <c r="M624">
        <f t="shared" si="65"/>
        <v>1</v>
      </c>
      <c r="N624">
        <f t="shared" si="66"/>
        <v>8.897272179455969E-21</v>
      </c>
      <c r="O624">
        <f t="shared" si="67"/>
        <v>1</v>
      </c>
      <c r="P624">
        <f t="shared" si="68"/>
        <v>0</v>
      </c>
    </row>
    <row r="625" spans="1:16" x14ac:dyDescent="0.3">
      <c r="A625" s="2">
        <f t="shared" si="69"/>
        <v>621</v>
      </c>
      <c r="B625" s="2">
        <v>25</v>
      </c>
      <c r="C625" s="2">
        <v>0.4</v>
      </c>
      <c r="D625" s="2">
        <v>20</v>
      </c>
      <c r="E625" s="2">
        <v>1</v>
      </c>
      <c r="F625" s="2">
        <v>45</v>
      </c>
      <c r="G625" s="2">
        <v>0.8</v>
      </c>
      <c r="H625" s="2">
        <v>20</v>
      </c>
      <c r="I625" s="2">
        <v>0</v>
      </c>
      <c r="J625" s="2">
        <v>1</v>
      </c>
      <c r="K625">
        <f t="shared" si="63"/>
        <v>33.227524315876146</v>
      </c>
      <c r="L625">
        <f t="shared" si="64"/>
        <v>37.358014774933686</v>
      </c>
      <c r="M625">
        <f t="shared" si="65"/>
        <v>1.5820675518583502E-2</v>
      </c>
      <c r="N625">
        <f t="shared" si="66"/>
        <v>0.98417932448141654</v>
      </c>
      <c r="O625">
        <f t="shared" si="67"/>
        <v>0.98417932448141654</v>
      </c>
      <c r="P625">
        <f t="shared" si="68"/>
        <v>-1.5947158206991913E-2</v>
      </c>
    </row>
    <row r="626" spans="1:16" x14ac:dyDescent="0.3">
      <c r="A626" s="2">
        <f t="shared" si="69"/>
        <v>622</v>
      </c>
      <c r="B626" s="2">
        <v>15</v>
      </c>
      <c r="C626" s="2">
        <v>0.8</v>
      </c>
      <c r="D626" s="2">
        <v>15</v>
      </c>
      <c r="E626" s="2">
        <v>1</v>
      </c>
      <c r="F626" s="2">
        <v>60</v>
      </c>
      <c r="G626" s="2">
        <v>1</v>
      </c>
      <c r="H626" s="2">
        <v>20</v>
      </c>
      <c r="I626" s="2">
        <v>1</v>
      </c>
      <c r="J626" s="2">
        <v>0</v>
      </c>
      <c r="K626">
        <f t="shared" si="63"/>
        <v>32.302636481616688</v>
      </c>
      <c r="L626">
        <f t="shared" si="64"/>
        <v>18.785888036497418</v>
      </c>
      <c r="M626">
        <f t="shared" si="65"/>
        <v>0.99999865181294911</v>
      </c>
      <c r="N626">
        <f t="shared" si="66"/>
        <v>1.3481870508975802E-6</v>
      </c>
      <c r="O626">
        <f t="shared" si="67"/>
        <v>0.99999865181294911</v>
      </c>
      <c r="P626">
        <f t="shared" si="68"/>
        <v>-1.3481879596918854E-6</v>
      </c>
    </row>
    <row r="627" spans="1:16" x14ac:dyDescent="0.3">
      <c r="A627" s="2">
        <f t="shared" si="69"/>
        <v>623</v>
      </c>
      <c r="B627" s="2">
        <v>25</v>
      </c>
      <c r="C627" s="2">
        <v>0.6</v>
      </c>
      <c r="D627" s="2">
        <v>25</v>
      </c>
      <c r="E627" s="2">
        <v>1</v>
      </c>
      <c r="F627" s="2">
        <v>45</v>
      </c>
      <c r="G627" s="2">
        <v>0.8</v>
      </c>
      <c r="H627" s="2">
        <v>40</v>
      </c>
      <c r="I627" s="2">
        <v>1</v>
      </c>
      <c r="J627" s="2">
        <v>0</v>
      </c>
      <c r="K627">
        <f t="shared" si="63"/>
        <v>72.060559399706079</v>
      </c>
      <c r="L627">
        <f t="shared" si="64"/>
        <v>42.649795503483197</v>
      </c>
      <c r="M627">
        <f t="shared" si="65"/>
        <v>0.99999999999983136</v>
      </c>
      <c r="N627">
        <f t="shared" si="66"/>
        <v>1.6868152990236657E-13</v>
      </c>
      <c r="O627">
        <f t="shared" si="67"/>
        <v>0.99999999999983136</v>
      </c>
      <c r="P627">
        <f t="shared" si="68"/>
        <v>-1.6864287744057549E-13</v>
      </c>
    </row>
    <row r="628" spans="1:16" x14ac:dyDescent="0.3">
      <c r="A628" s="2">
        <f t="shared" si="69"/>
        <v>624</v>
      </c>
      <c r="B628" s="2">
        <v>20</v>
      </c>
      <c r="C628" s="2">
        <v>0.6</v>
      </c>
      <c r="D628" s="2">
        <v>25</v>
      </c>
      <c r="E628" s="2">
        <v>1</v>
      </c>
      <c r="F628" s="2">
        <v>60</v>
      </c>
      <c r="G628" s="2">
        <v>0.9</v>
      </c>
      <c r="H628" s="2">
        <v>20</v>
      </c>
      <c r="I628" s="2">
        <v>0</v>
      </c>
      <c r="J628" s="2">
        <v>1</v>
      </c>
      <c r="K628">
        <f t="shared" si="63"/>
        <v>33.718060114204398</v>
      </c>
      <c r="L628">
        <f t="shared" si="64"/>
        <v>41.33395102409817</v>
      </c>
      <c r="M628">
        <f t="shared" si="65"/>
        <v>4.9231916113999595E-4</v>
      </c>
      <c r="N628">
        <f t="shared" si="66"/>
        <v>0.99950768083885999</v>
      </c>
      <c r="O628">
        <f t="shared" si="67"/>
        <v>0.99950768083885999</v>
      </c>
      <c r="P628">
        <f t="shared" si="68"/>
        <v>-4.9244039000871794E-4</v>
      </c>
    </row>
    <row r="629" spans="1:16" x14ac:dyDescent="0.3">
      <c r="A629" s="2">
        <f t="shared" si="69"/>
        <v>625</v>
      </c>
      <c r="B629" s="2">
        <v>25</v>
      </c>
      <c r="C629" s="2">
        <v>0.8</v>
      </c>
      <c r="D629" s="2">
        <v>20</v>
      </c>
      <c r="E629" s="2">
        <v>1</v>
      </c>
      <c r="F629" s="2">
        <v>90</v>
      </c>
      <c r="G629" s="2">
        <v>0.9</v>
      </c>
      <c r="H629" s="2">
        <v>20</v>
      </c>
      <c r="I629" s="2">
        <v>1</v>
      </c>
      <c r="J629" s="2">
        <v>0</v>
      </c>
      <c r="K629">
        <f t="shared" si="63"/>
        <v>37.529978976036332</v>
      </c>
      <c r="L629">
        <f t="shared" si="64"/>
        <v>30.258910074189213</v>
      </c>
      <c r="M629">
        <f t="shared" si="65"/>
        <v>0.99930511488519791</v>
      </c>
      <c r="N629">
        <f t="shared" si="66"/>
        <v>6.9488511480208029E-4</v>
      </c>
      <c r="O629">
        <f t="shared" si="67"/>
        <v>0.99930511488519791</v>
      </c>
      <c r="P629">
        <f t="shared" si="68"/>
        <v>-6.9512665936710802E-4</v>
      </c>
    </row>
    <row r="630" spans="1:16" x14ac:dyDescent="0.3">
      <c r="A630" s="2">
        <f t="shared" si="69"/>
        <v>626</v>
      </c>
      <c r="B630" s="2">
        <v>20</v>
      </c>
      <c r="C630" s="2">
        <v>0.6</v>
      </c>
      <c r="D630" s="2">
        <v>25</v>
      </c>
      <c r="E630" s="2">
        <v>1</v>
      </c>
      <c r="F630" s="2">
        <v>45</v>
      </c>
      <c r="G630" s="2">
        <v>0.8</v>
      </c>
      <c r="H630" s="2">
        <v>10</v>
      </c>
      <c r="I630" s="2">
        <v>0</v>
      </c>
      <c r="J630" s="2">
        <v>1</v>
      </c>
      <c r="K630">
        <f t="shared" si="63"/>
        <v>13.811006773961173</v>
      </c>
      <c r="L630">
        <f t="shared" si="64"/>
        <v>41.33395102409817</v>
      </c>
      <c r="M630">
        <f t="shared" si="65"/>
        <v>1.1141333808381783E-12</v>
      </c>
      <c r="N630">
        <f t="shared" si="66"/>
        <v>0.99999999999888589</v>
      </c>
      <c r="O630">
        <f t="shared" si="67"/>
        <v>0.99999999999888589</v>
      </c>
      <c r="P630">
        <f t="shared" si="68"/>
        <v>-1.1141088052119652E-12</v>
      </c>
    </row>
    <row r="631" spans="1:16" x14ac:dyDescent="0.3">
      <c r="A631" s="2">
        <f t="shared" si="69"/>
        <v>627</v>
      </c>
      <c r="B631" s="2">
        <v>15</v>
      </c>
      <c r="C631" s="2">
        <v>0.6</v>
      </c>
      <c r="D631" s="2">
        <v>25</v>
      </c>
      <c r="E631" s="2">
        <v>1</v>
      </c>
      <c r="F631" s="2">
        <v>90</v>
      </c>
      <c r="G631" s="2">
        <v>0.9</v>
      </c>
      <c r="H631" s="2">
        <v>10</v>
      </c>
      <c r="I631" s="2">
        <v>0</v>
      </c>
      <c r="J631" s="2">
        <v>1</v>
      </c>
      <c r="K631">
        <f t="shared" si="63"/>
        <v>18.113461434121358</v>
      </c>
      <c r="L631">
        <f t="shared" si="64"/>
        <v>40.018106544713142</v>
      </c>
      <c r="M631">
        <f t="shared" si="65"/>
        <v>3.0685520918959148E-10</v>
      </c>
      <c r="N631">
        <f t="shared" si="66"/>
        <v>0.99999999969314479</v>
      </c>
      <c r="O631">
        <f t="shared" si="67"/>
        <v>0.99999999969314479</v>
      </c>
      <c r="P631">
        <f t="shared" si="68"/>
        <v>-3.0685520795704186E-10</v>
      </c>
    </row>
    <row r="632" spans="1:16" x14ac:dyDescent="0.3">
      <c r="A632" s="2">
        <f t="shared" si="69"/>
        <v>628</v>
      </c>
      <c r="B632" s="2">
        <v>25</v>
      </c>
      <c r="C632" s="2">
        <v>0.4</v>
      </c>
      <c r="D632" s="2">
        <v>15</v>
      </c>
      <c r="E632" s="2">
        <v>1</v>
      </c>
      <c r="F632" s="2">
        <v>45</v>
      </c>
      <c r="G632" s="2">
        <v>0.9</v>
      </c>
      <c r="H632" s="2">
        <v>20</v>
      </c>
      <c r="I632" s="2">
        <v>1</v>
      </c>
      <c r="J632" s="2">
        <v>0</v>
      </c>
      <c r="K632">
        <f t="shared" si="63"/>
        <v>31.812100683288435</v>
      </c>
      <c r="L632">
        <f t="shared" si="64"/>
        <v>28.51668169601195</v>
      </c>
      <c r="M632">
        <f t="shared" si="65"/>
        <v>0.96427132026156659</v>
      </c>
      <c r="N632">
        <f t="shared" si="66"/>
        <v>3.5728679738433369E-2</v>
      </c>
      <c r="O632">
        <f t="shared" si="67"/>
        <v>0.96427132026156659</v>
      </c>
      <c r="P632">
        <f t="shared" si="68"/>
        <v>-3.6382571418438821E-2</v>
      </c>
    </row>
    <row r="633" spans="1:16" x14ac:dyDescent="0.3">
      <c r="A633" s="2">
        <f t="shared" si="69"/>
        <v>629</v>
      </c>
      <c r="B633" s="2">
        <v>15</v>
      </c>
      <c r="C633" s="2">
        <v>0.4</v>
      </c>
      <c r="D633" s="2">
        <v>25</v>
      </c>
      <c r="E633" s="2">
        <v>1</v>
      </c>
      <c r="F633" s="2">
        <v>90</v>
      </c>
      <c r="G633" s="2">
        <v>0.8</v>
      </c>
      <c r="H633" s="2">
        <v>20</v>
      </c>
      <c r="I633" s="2">
        <v>0</v>
      </c>
      <c r="J633" s="2">
        <v>1</v>
      </c>
      <c r="K633">
        <f t="shared" si="63"/>
        <v>38.945402608624036</v>
      </c>
      <c r="L633">
        <f t="shared" si="64"/>
        <v>43.567658895085373</v>
      </c>
      <c r="M633">
        <f t="shared" si="65"/>
        <v>9.7348906687547247E-3</v>
      </c>
      <c r="N633">
        <f t="shared" si="66"/>
        <v>0.99026510933124523</v>
      </c>
      <c r="O633">
        <f t="shared" si="67"/>
        <v>0.99026510933124523</v>
      </c>
      <c r="P633">
        <f t="shared" si="68"/>
        <v>-9.7825844988168303E-3</v>
      </c>
    </row>
    <row r="634" spans="1:16" x14ac:dyDescent="0.3">
      <c r="A634" s="2">
        <f t="shared" si="69"/>
        <v>630</v>
      </c>
      <c r="B634" s="2">
        <v>20</v>
      </c>
      <c r="C634" s="2">
        <v>0.4</v>
      </c>
      <c r="D634" s="2">
        <v>20</v>
      </c>
      <c r="E634" s="2">
        <v>1</v>
      </c>
      <c r="F634" s="2">
        <v>60</v>
      </c>
      <c r="G634" s="2">
        <v>0.9</v>
      </c>
      <c r="H634" s="2">
        <v>40</v>
      </c>
      <c r="I634" s="2">
        <v>1</v>
      </c>
      <c r="J634" s="2">
        <v>0</v>
      </c>
      <c r="K634">
        <f t="shared" si="63"/>
        <v>72.551095198034346</v>
      </c>
      <c r="L634">
        <f t="shared" si="64"/>
        <v>36.042170295548658</v>
      </c>
      <c r="M634">
        <f t="shared" si="65"/>
        <v>0.99999999999999989</v>
      </c>
      <c r="N634">
        <f t="shared" si="66"/>
        <v>1.3943614735326636E-16</v>
      </c>
      <c r="O634">
        <f t="shared" si="67"/>
        <v>0.99999999999999989</v>
      </c>
      <c r="P634">
        <f t="shared" si="68"/>
        <v>-1.1102230246251565E-16</v>
      </c>
    </row>
    <row r="635" spans="1:16" x14ac:dyDescent="0.3">
      <c r="A635" s="2">
        <f t="shared" si="69"/>
        <v>631</v>
      </c>
      <c r="B635" s="2">
        <v>25</v>
      </c>
      <c r="C635" s="2">
        <v>0.4</v>
      </c>
      <c r="D635" s="2">
        <v>25</v>
      </c>
      <c r="E635" s="2">
        <v>1</v>
      </c>
      <c r="F635" s="2">
        <v>90</v>
      </c>
      <c r="G635" s="2">
        <v>0.9</v>
      </c>
      <c r="H635" s="2">
        <v>20</v>
      </c>
      <c r="I635" s="2">
        <v>0</v>
      </c>
      <c r="J635" s="2">
        <v>1</v>
      </c>
      <c r="K635">
        <f t="shared" si="63"/>
        <v>37.529978976036332</v>
      </c>
      <c r="L635">
        <f t="shared" si="64"/>
        <v>46.199347853855429</v>
      </c>
      <c r="M635">
        <f t="shared" si="65"/>
        <v>1.7173797728822825E-4</v>
      </c>
      <c r="N635">
        <f t="shared" si="66"/>
        <v>0.99982826202271169</v>
      </c>
      <c r="O635">
        <f t="shared" si="67"/>
        <v>0.99982826202271169</v>
      </c>
      <c r="P635">
        <f t="shared" si="68"/>
        <v>-1.7175272594335947E-4</v>
      </c>
    </row>
    <row r="636" spans="1:16" x14ac:dyDescent="0.3">
      <c r="A636" s="2">
        <f t="shared" si="69"/>
        <v>632</v>
      </c>
      <c r="B636" s="2">
        <v>20</v>
      </c>
      <c r="C636" s="2">
        <v>0.6</v>
      </c>
      <c r="D636" s="2">
        <v>20</v>
      </c>
      <c r="E636" s="2">
        <v>1</v>
      </c>
      <c r="F636" s="2">
        <v>45</v>
      </c>
      <c r="G636" s="2">
        <v>0.9</v>
      </c>
      <c r="H636" s="2">
        <v>10</v>
      </c>
      <c r="I636" s="2">
        <v>0</v>
      </c>
      <c r="J636" s="2">
        <v>1</v>
      </c>
      <c r="K636">
        <f t="shared" si="63"/>
        <v>12.395583141373463</v>
      </c>
      <c r="L636">
        <f t="shared" si="64"/>
        <v>32.49261794517642</v>
      </c>
      <c r="M636">
        <f t="shared" si="65"/>
        <v>1.8705472428178201E-9</v>
      </c>
      <c r="N636">
        <f t="shared" si="66"/>
        <v>0.99999999812945273</v>
      </c>
      <c r="O636">
        <f t="shared" si="67"/>
        <v>0.99999999812945273</v>
      </c>
      <c r="P636">
        <f t="shared" si="68"/>
        <v>-1.8705472743805024E-9</v>
      </c>
    </row>
    <row r="637" spans="1:16" x14ac:dyDescent="0.3">
      <c r="A637" s="2">
        <f t="shared" si="69"/>
        <v>633</v>
      </c>
      <c r="B637" s="2">
        <v>25</v>
      </c>
      <c r="C637" s="2">
        <v>0.8</v>
      </c>
      <c r="D637" s="2">
        <v>15</v>
      </c>
      <c r="E637" s="2">
        <v>1</v>
      </c>
      <c r="F637" s="2">
        <v>45</v>
      </c>
      <c r="G637" s="2">
        <v>1</v>
      </c>
      <c r="H637" s="2">
        <v>10</v>
      </c>
      <c r="I637" s="2">
        <v>0</v>
      </c>
      <c r="J637" s="2">
        <v>1</v>
      </c>
      <c r="K637">
        <f t="shared" si="63"/>
        <v>10.980159508785752</v>
      </c>
      <c r="L637">
        <f t="shared" si="64"/>
        <v>21.417576995267474</v>
      </c>
      <c r="M637">
        <f t="shared" si="65"/>
        <v>2.931395718665853E-5</v>
      </c>
      <c r="N637">
        <f t="shared" si="66"/>
        <v>0.99997068604281336</v>
      </c>
      <c r="O637">
        <f t="shared" si="67"/>
        <v>0.99997068604281336</v>
      </c>
      <c r="P637">
        <f t="shared" si="68"/>
        <v>-2.9314386849078268E-5</v>
      </c>
    </row>
    <row r="638" spans="1:16" x14ac:dyDescent="0.3">
      <c r="A638" s="2">
        <f t="shared" si="69"/>
        <v>634</v>
      </c>
      <c r="B638" s="2">
        <v>20</v>
      </c>
      <c r="C638" s="2">
        <v>0.6</v>
      </c>
      <c r="D638" s="2">
        <v>25</v>
      </c>
      <c r="E638" s="2">
        <v>1</v>
      </c>
      <c r="F638" s="2">
        <v>45</v>
      </c>
      <c r="G638" s="2">
        <v>0.9</v>
      </c>
      <c r="H638" s="2">
        <v>20</v>
      </c>
      <c r="I638" s="2">
        <v>0</v>
      </c>
      <c r="J638" s="2">
        <v>1</v>
      </c>
      <c r="K638">
        <f t="shared" si="63"/>
        <v>31.812100683288435</v>
      </c>
      <c r="L638">
        <f t="shared" si="64"/>
        <v>41.33395102409817</v>
      </c>
      <c r="M638">
        <f t="shared" si="65"/>
        <v>7.3228668158479524E-5</v>
      </c>
      <c r="N638">
        <f t="shared" si="66"/>
        <v>0.99992677133184149</v>
      </c>
      <c r="O638">
        <f t="shared" si="67"/>
        <v>0.99992677133184149</v>
      </c>
      <c r="P638">
        <f t="shared" si="68"/>
        <v>-7.3231349508331311E-5</v>
      </c>
    </row>
    <row r="639" spans="1:16" x14ac:dyDescent="0.3">
      <c r="A639" s="2">
        <f t="shared" si="69"/>
        <v>635</v>
      </c>
      <c r="B639" s="2">
        <v>25</v>
      </c>
      <c r="C639" s="2">
        <v>0.8</v>
      </c>
      <c r="D639" s="2">
        <v>15</v>
      </c>
      <c r="E639" s="2">
        <v>1</v>
      </c>
      <c r="F639" s="2">
        <v>90</v>
      </c>
      <c r="G639" s="2">
        <v>0.9</v>
      </c>
      <c r="H639" s="2">
        <v>40</v>
      </c>
      <c r="I639" s="2">
        <v>1</v>
      </c>
      <c r="J639" s="2">
        <v>0</v>
      </c>
      <c r="K639">
        <f t="shared" si="63"/>
        <v>76.363014059866273</v>
      </c>
      <c r="L639">
        <f t="shared" si="64"/>
        <v>21.417576995267474</v>
      </c>
      <c r="M639">
        <f t="shared" si="65"/>
        <v>1</v>
      </c>
      <c r="N639">
        <f t="shared" si="66"/>
        <v>1.3724605725622088E-24</v>
      </c>
      <c r="O639">
        <f t="shared" si="67"/>
        <v>1</v>
      </c>
      <c r="P639">
        <f t="shared" si="68"/>
        <v>0</v>
      </c>
    </row>
    <row r="640" spans="1:16" x14ac:dyDescent="0.3">
      <c r="A640" s="2">
        <f t="shared" si="69"/>
        <v>636</v>
      </c>
      <c r="B640" s="2">
        <v>20</v>
      </c>
      <c r="C640" s="2">
        <v>0.6</v>
      </c>
      <c r="D640" s="2">
        <v>25</v>
      </c>
      <c r="E640" s="2">
        <v>1</v>
      </c>
      <c r="F640" s="2">
        <v>90</v>
      </c>
      <c r="G640" s="2">
        <v>1</v>
      </c>
      <c r="H640" s="2">
        <v>10</v>
      </c>
      <c r="I640" s="2">
        <v>0</v>
      </c>
      <c r="J640" s="2">
        <v>1</v>
      </c>
      <c r="K640">
        <f t="shared" si="63"/>
        <v>16.698037801533648</v>
      </c>
      <c r="L640">
        <f t="shared" si="64"/>
        <v>41.33395102409817</v>
      </c>
      <c r="M640">
        <f t="shared" si="65"/>
        <v>1.9987516293496168E-11</v>
      </c>
      <c r="N640">
        <f t="shared" si="66"/>
        <v>0.99999999998001254</v>
      </c>
      <c r="O640">
        <f t="shared" si="67"/>
        <v>0.99999999998001254</v>
      </c>
      <c r="P640">
        <f t="shared" si="68"/>
        <v>-1.9987456134828904E-11</v>
      </c>
    </row>
    <row r="641" spans="1:16" x14ac:dyDescent="0.3">
      <c r="A641" s="2">
        <f t="shared" si="69"/>
        <v>637</v>
      </c>
      <c r="B641" s="2">
        <v>20</v>
      </c>
      <c r="C641" s="2">
        <v>0.8</v>
      </c>
      <c r="D641" s="2">
        <v>15</v>
      </c>
      <c r="E641" s="2">
        <v>1</v>
      </c>
      <c r="F641" s="2">
        <v>45</v>
      </c>
      <c r="G641" s="2">
        <v>1</v>
      </c>
      <c r="H641" s="2">
        <v>20</v>
      </c>
      <c r="I641" s="2">
        <v>1</v>
      </c>
      <c r="J641" s="2">
        <v>0</v>
      </c>
      <c r="K641">
        <f t="shared" si="63"/>
        <v>30.396677050700724</v>
      </c>
      <c r="L641">
        <f t="shared" si="64"/>
        <v>20.101732515882446</v>
      </c>
      <c r="M641">
        <f t="shared" si="65"/>
        <v>0.99996619758599647</v>
      </c>
      <c r="N641">
        <f t="shared" si="66"/>
        <v>3.3802414003503869E-5</v>
      </c>
      <c r="O641">
        <f t="shared" si="67"/>
        <v>0.99996619758599647</v>
      </c>
      <c r="P641">
        <f t="shared" si="68"/>
        <v>-3.3802985317996159E-5</v>
      </c>
    </row>
    <row r="642" spans="1:16" x14ac:dyDescent="0.3">
      <c r="A642" s="2">
        <f t="shared" si="69"/>
        <v>638</v>
      </c>
      <c r="B642" s="2">
        <v>25</v>
      </c>
      <c r="C642" s="2">
        <v>0.6</v>
      </c>
      <c r="D642" s="2">
        <v>25</v>
      </c>
      <c r="E642" s="2">
        <v>1</v>
      </c>
      <c r="F642" s="2">
        <v>45</v>
      </c>
      <c r="G642" s="2">
        <v>0.8</v>
      </c>
      <c r="H642" s="2">
        <v>10</v>
      </c>
      <c r="I642" s="2">
        <v>0</v>
      </c>
      <c r="J642" s="2">
        <v>1</v>
      </c>
      <c r="K642">
        <f t="shared" si="63"/>
        <v>13.811006773961173</v>
      </c>
      <c r="L642">
        <f t="shared" si="64"/>
        <v>42.649795503483197</v>
      </c>
      <c r="M642">
        <f t="shared" si="65"/>
        <v>2.9886371457647322E-13</v>
      </c>
      <c r="N642">
        <f t="shared" si="66"/>
        <v>0.99999999999970124</v>
      </c>
      <c r="O642">
        <f t="shared" si="67"/>
        <v>0.99999999999970124</v>
      </c>
      <c r="P642">
        <f t="shared" si="68"/>
        <v>-2.9876101592667426E-13</v>
      </c>
    </row>
    <row r="643" spans="1:16" x14ac:dyDescent="0.3">
      <c r="A643" s="2">
        <f t="shared" si="69"/>
        <v>639</v>
      </c>
      <c r="B643" s="2">
        <v>15</v>
      </c>
      <c r="C643" s="2">
        <v>0.4</v>
      </c>
      <c r="D643" s="2">
        <v>25</v>
      </c>
      <c r="E643" s="2">
        <v>1</v>
      </c>
      <c r="F643" s="2">
        <v>60</v>
      </c>
      <c r="G643" s="2">
        <v>0.8</v>
      </c>
      <c r="H643" s="2">
        <v>10</v>
      </c>
      <c r="I643" s="2">
        <v>0</v>
      </c>
      <c r="J643" s="2">
        <v>1</v>
      </c>
      <c r="K643">
        <f t="shared" si="63"/>
        <v>15.716966204877139</v>
      </c>
      <c r="L643">
        <f t="shared" si="64"/>
        <v>43.567658895085373</v>
      </c>
      <c r="M643">
        <f t="shared" si="65"/>
        <v>8.0278240906208371E-13</v>
      </c>
      <c r="N643">
        <f t="shared" si="66"/>
        <v>0.9999999999991972</v>
      </c>
      <c r="O643">
        <f t="shared" si="67"/>
        <v>0.9999999999991972</v>
      </c>
      <c r="P643">
        <f t="shared" si="68"/>
        <v>-8.028022691067729E-13</v>
      </c>
    </row>
    <row r="644" spans="1:16" x14ac:dyDescent="0.3">
      <c r="A644" s="2">
        <f t="shared" si="69"/>
        <v>640</v>
      </c>
      <c r="B644" s="2">
        <v>25</v>
      </c>
      <c r="C644" s="2">
        <v>0.8</v>
      </c>
      <c r="D644" s="2">
        <v>15</v>
      </c>
      <c r="E644" s="2">
        <v>1</v>
      </c>
      <c r="F644" s="2">
        <v>45</v>
      </c>
      <c r="G644" s="2">
        <v>1</v>
      </c>
      <c r="H644" s="2">
        <v>20</v>
      </c>
      <c r="I644" s="2">
        <v>1</v>
      </c>
      <c r="J644" s="2">
        <v>0</v>
      </c>
      <c r="K644">
        <f t="shared" si="63"/>
        <v>30.396677050700724</v>
      </c>
      <c r="L644">
        <f t="shared" si="64"/>
        <v>21.417576995267474</v>
      </c>
      <c r="M644">
        <f t="shared" si="65"/>
        <v>0.99987399967399793</v>
      </c>
      <c r="N644">
        <f t="shared" si="66"/>
        <v>1.260003260020911E-4</v>
      </c>
      <c r="O644">
        <f t="shared" si="67"/>
        <v>0.99987399967399793</v>
      </c>
      <c r="P644">
        <f t="shared" si="68"/>
        <v>-1.2600826471001017E-4</v>
      </c>
    </row>
    <row r="645" spans="1:16" x14ac:dyDescent="0.3">
      <c r="A645" s="2">
        <f t="shared" si="69"/>
        <v>641</v>
      </c>
      <c r="B645" s="2">
        <v>15</v>
      </c>
      <c r="C645" s="2">
        <v>0.8</v>
      </c>
      <c r="D645" s="2">
        <v>15</v>
      </c>
      <c r="E645" s="2">
        <v>1</v>
      </c>
      <c r="F645" s="2">
        <v>45</v>
      </c>
      <c r="G645" s="2">
        <v>1</v>
      </c>
      <c r="H645" s="2">
        <v>40</v>
      </c>
      <c r="I645" s="2">
        <v>1</v>
      </c>
      <c r="J645" s="2">
        <v>0</v>
      </c>
      <c r="K645">
        <f t="shared" si="63"/>
        <v>69.229712134530658</v>
      </c>
      <c r="L645">
        <f t="shared" si="64"/>
        <v>18.785888036497418</v>
      </c>
      <c r="M645">
        <f t="shared" si="65"/>
        <v>1</v>
      </c>
      <c r="N645">
        <f t="shared" si="66"/>
        <v>1.2374439825820306E-22</v>
      </c>
      <c r="O645">
        <f t="shared" si="67"/>
        <v>1</v>
      </c>
      <c r="P645">
        <f t="shared" si="68"/>
        <v>0</v>
      </c>
    </row>
    <row r="646" spans="1:16" x14ac:dyDescent="0.3">
      <c r="A646" s="2">
        <f t="shared" si="69"/>
        <v>642</v>
      </c>
      <c r="B646" s="2">
        <v>20</v>
      </c>
      <c r="C646" s="2">
        <v>0.4</v>
      </c>
      <c r="D646" s="2">
        <v>25</v>
      </c>
      <c r="E646" s="2">
        <v>1</v>
      </c>
      <c r="F646" s="2">
        <v>60</v>
      </c>
      <c r="G646" s="2">
        <v>0.8</v>
      </c>
      <c r="H646" s="2">
        <v>20</v>
      </c>
      <c r="I646" s="2">
        <v>0</v>
      </c>
      <c r="J646" s="2">
        <v>1</v>
      </c>
      <c r="K646">
        <f t="shared" ref="K646:K709" si="70">$F$3*F646+$G$3*G646+$H$3*H646</f>
        <v>35.133483746792109</v>
      </c>
      <c r="L646">
        <f t="shared" ref="L646:L709" si="71">$B$3*B646+$C$3*C646+$D$3*D646+$E$3*E646</f>
        <v>44.883503374470401</v>
      </c>
      <c r="M646">
        <f t="shared" ref="M646:M709" si="72">EXP(K646)/(EXP(K646)+EXP(L646))</f>
        <v>5.8290121616847567E-5</v>
      </c>
      <c r="N646">
        <f t="shared" ref="N646:N709" si="73">EXP(L646)/(EXP(L646)+EXP(K646))</f>
        <v>0.99994170987838316</v>
      </c>
      <c r="O646">
        <f t="shared" ref="O646:O709" si="74">I646*M646+J646*N646</f>
        <v>0.99994170987838316</v>
      </c>
      <c r="P646">
        <f t="shared" ref="P646:P709" si="75">LN(O646)</f>
        <v>-5.8291820552004234E-5</v>
      </c>
    </row>
    <row r="647" spans="1:16" x14ac:dyDescent="0.3">
      <c r="A647" s="2">
        <f t="shared" ref="A647:A710" si="76">A646+1</f>
        <v>643</v>
      </c>
      <c r="B647" s="2">
        <v>25</v>
      </c>
      <c r="C647" s="2">
        <v>0.4</v>
      </c>
      <c r="D647" s="2">
        <v>20</v>
      </c>
      <c r="E647" s="2">
        <v>1</v>
      </c>
      <c r="F647" s="2">
        <v>45</v>
      </c>
      <c r="G647" s="2">
        <v>0.9</v>
      </c>
      <c r="H647" s="2">
        <v>40</v>
      </c>
      <c r="I647" s="2">
        <v>1</v>
      </c>
      <c r="J647" s="2">
        <v>0</v>
      </c>
      <c r="K647">
        <f t="shared" si="70"/>
        <v>70.645135767118376</v>
      </c>
      <c r="L647">
        <f t="shared" si="71"/>
        <v>37.358014774933686</v>
      </c>
      <c r="M647">
        <f t="shared" si="72"/>
        <v>0.99999999999999645</v>
      </c>
      <c r="N647">
        <f t="shared" si="73"/>
        <v>3.496125665743239E-15</v>
      </c>
      <c r="O647">
        <f t="shared" si="74"/>
        <v>0.99999999999999645</v>
      </c>
      <c r="P647">
        <f t="shared" si="75"/>
        <v>-3.5527136788005072E-15</v>
      </c>
    </row>
    <row r="648" spans="1:16" x14ac:dyDescent="0.3">
      <c r="A648" s="2">
        <f t="shared" si="76"/>
        <v>644</v>
      </c>
      <c r="B648" s="2">
        <v>25</v>
      </c>
      <c r="C648" s="2">
        <v>0.6</v>
      </c>
      <c r="D648" s="2">
        <v>20</v>
      </c>
      <c r="E648" s="2">
        <v>1</v>
      </c>
      <c r="F648" s="2">
        <v>45</v>
      </c>
      <c r="G648" s="2">
        <v>0.9</v>
      </c>
      <c r="H648" s="2">
        <v>20</v>
      </c>
      <c r="I648" s="2">
        <v>0</v>
      </c>
      <c r="J648" s="2">
        <v>1</v>
      </c>
      <c r="K648">
        <f t="shared" si="70"/>
        <v>31.812100683288435</v>
      </c>
      <c r="L648">
        <f t="shared" si="71"/>
        <v>33.808462424561448</v>
      </c>
      <c r="M648">
        <f t="shared" si="72"/>
        <v>0.11958544539105977</v>
      </c>
      <c r="N648">
        <f t="shared" si="73"/>
        <v>0.88041455460894025</v>
      </c>
      <c r="O648">
        <f t="shared" si="74"/>
        <v>0.88041455460894025</v>
      </c>
      <c r="P648">
        <f t="shared" si="75"/>
        <v>-0.12736239765259905</v>
      </c>
    </row>
    <row r="649" spans="1:16" x14ac:dyDescent="0.3">
      <c r="A649" s="2">
        <f t="shared" si="76"/>
        <v>645</v>
      </c>
      <c r="B649" s="2">
        <v>15</v>
      </c>
      <c r="C649" s="2">
        <v>0.4</v>
      </c>
      <c r="D649" s="2">
        <v>25</v>
      </c>
      <c r="E649" s="2">
        <v>1</v>
      </c>
      <c r="F649" s="2">
        <v>60</v>
      </c>
      <c r="G649" s="2">
        <v>0.8</v>
      </c>
      <c r="H649" s="2">
        <v>10</v>
      </c>
      <c r="I649" s="2">
        <v>0</v>
      </c>
      <c r="J649" s="2">
        <v>1</v>
      </c>
      <c r="K649">
        <f t="shared" si="70"/>
        <v>15.716966204877139</v>
      </c>
      <c r="L649">
        <f t="shared" si="71"/>
        <v>43.567658895085373</v>
      </c>
      <c r="M649">
        <f t="shared" si="72"/>
        <v>8.0278240906208371E-13</v>
      </c>
      <c r="N649">
        <f t="shared" si="73"/>
        <v>0.9999999999991972</v>
      </c>
      <c r="O649">
        <f t="shared" si="74"/>
        <v>0.9999999999991972</v>
      </c>
      <c r="P649">
        <f t="shared" si="75"/>
        <v>-8.028022691067729E-13</v>
      </c>
    </row>
    <row r="650" spans="1:16" x14ac:dyDescent="0.3">
      <c r="A650" s="2">
        <f t="shared" si="76"/>
        <v>646</v>
      </c>
      <c r="B650" s="2">
        <v>15</v>
      </c>
      <c r="C650" s="2">
        <v>0.6</v>
      </c>
      <c r="D650" s="2">
        <v>25</v>
      </c>
      <c r="E650" s="2">
        <v>1</v>
      </c>
      <c r="F650" s="2">
        <v>45</v>
      </c>
      <c r="G650" s="2">
        <v>1</v>
      </c>
      <c r="H650" s="2">
        <v>10</v>
      </c>
      <c r="I650" s="2">
        <v>0</v>
      </c>
      <c r="J650" s="2">
        <v>1</v>
      </c>
      <c r="K650">
        <f t="shared" si="70"/>
        <v>10.980159508785752</v>
      </c>
      <c r="L650">
        <f t="shared" si="71"/>
        <v>40.018106544713142</v>
      </c>
      <c r="M650">
        <f t="shared" si="72"/>
        <v>2.4489495389359262E-13</v>
      </c>
      <c r="N650">
        <f t="shared" si="73"/>
        <v>0.9999999999997552</v>
      </c>
      <c r="O650">
        <f t="shared" si="74"/>
        <v>0.9999999999997552</v>
      </c>
      <c r="P650">
        <f t="shared" si="75"/>
        <v>-2.4480417692987701E-13</v>
      </c>
    </row>
    <row r="651" spans="1:16" x14ac:dyDescent="0.3">
      <c r="A651" s="2">
        <f t="shared" si="76"/>
        <v>647</v>
      </c>
      <c r="B651" s="2">
        <v>15</v>
      </c>
      <c r="C651" s="2">
        <v>0.4</v>
      </c>
      <c r="D651" s="2">
        <v>25</v>
      </c>
      <c r="E651" s="2">
        <v>1</v>
      </c>
      <c r="F651" s="2">
        <v>60</v>
      </c>
      <c r="G651" s="2">
        <v>1</v>
      </c>
      <c r="H651" s="2">
        <v>10</v>
      </c>
      <c r="I651" s="2">
        <v>0</v>
      </c>
      <c r="J651" s="2">
        <v>1</v>
      </c>
      <c r="K651">
        <f t="shared" si="70"/>
        <v>12.886118939701717</v>
      </c>
      <c r="L651">
        <f t="shared" si="71"/>
        <v>43.567658895085373</v>
      </c>
      <c r="M651">
        <f t="shared" si="72"/>
        <v>4.7334359085888969E-14</v>
      </c>
      <c r="N651">
        <f t="shared" si="73"/>
        <v>0.99999999999995259</v>
      </c>
      <c r="O651">
        <f t="shared" si="74"/>
        <v>0.99999999999995259</v>
      </c>
      <c r="P651">
        <f t="shared" si="75"/>
        <v>-4.7406523151495308E-14</v>
      </c>
    </row>
    <row r="652" spans="1:16" x14ac:dyDescent="0.3">
      <c r="A652" s="2">
        <f t="shared" si="76"/>
        <v>648</v>
      </c>
      <c r="B652" s="2">
        <v>25</v>
      </c>
      <c r="C652" s="2">
        <v>0.4</v>
      </c>
      <c r="D652" s="2">
        <v>20</v>
      </c>
      <c r="E652" s="2">
        <v>1</v>
      </c>
      <c r="F652" s="2">
        <v>60</v>
      </c>
      <c r="G652" s="2">
        <v>1</v>
      </c>
      <c r="H652" s="2">
        <v>20</v>
      </c>
      <c r="I652" s="2">
        <v>0</v>
      </c>
      <c r="J652" s="2">
        <v>1</v>
      </c>
      <c r="K652">
        <f t="shared" si="70"/>
        <v>32.302636481616688</v>
      </c>
      <c r="L652">
        <f t="shared" si="71"/>
        <v>37.358014774933686</v>
      </c>
      <c r="M652">
        <f t="shared" si="72"/>
        <v>6.3345720932081427E-3</v>
      </c>
      <c r="N652">
        <f t="shared" si="73"/>
        <v>0.9936654279067918</v>
      </c>
      <c r="O652">
        <f t="shared" si="74"/>
        <v>0.9936654279067918</v>
      </c>
      <c r="P652">
        <f t="shared" si="75"/>
        <v>-6.3547206283111821E-3</v>
      </c>
    </row>
    <row r="653" spans="1:16" x14ac:dyDescent="0.3">
      <c r="A653" s="2">
        <f t="shared" si="76"/>
        <v>649</v>
      </c>
      <c r="B653" s="2">
        <v>25</v>
      </c>
      <c r="C653" s="2">
        <v>0.6</v>
      </c>
      <c r="D653" s="2">
        <v>15</v>
      </c>
      <c r="E653" s="2">
        <v>1</v>
      </c>
      <c r="F653" s="2">
        <v>90</v>
      </c>
      <c r="G653" s="2">
        <v>0.8</v>
      </c>
      <c r="H653" s="2">
        <v>40</v>
      </c>
      <c r="I653" s="2">
        <v>1</v>
      </c>
      <c r="J653" s="2">
        <v>0</v>
      </c>
      <c r="K653">
        <f t="shared" si="70"/>
        <v>77.778437692453977</v>
      </c>
      <c r="L653">
        <f t="shared" si="71"/>
        <v>24.967129345639712</v>
      </c>
      <c r="M653">
        <f t="shared" si="72"/>
        <v>1</v>
      </c>
      <c r="N653">
        <f t="shared" si="73"/>
        <v>1.159685435498325E-23</v>
      </c>
      <c r="O653">
        <f t="shared" si="74"/>
        <v>1</v>
      </c>
      <c r="P653">
        <f t="shared" si="75"/>
        <v>0</v>
      </c>
    </row>
    <row r="654" spans="1:16" x14ac:dyDescent="0.3">
      <c r="A654" s="2">
        <f t="shared" si="76"/>
        <v>650</v>
      </c>
      <c r="B654" s="2">
        <v>20</v>
      </c>
      <c r="C654" s="2">
        <v>0.6</v>
      </c>
      <c r="D654" s="2">
        <v>20</v>
      </c>
      <c r="E654" s="2">
        <v>1</v>
      </c>
      <c r="F654" s="2">
        <v>45</v>
      </c>
      <c r="G654" s="2">
        <v>0.8</v>
      </c>
      <c r="H654" s="2">
        <v>20</v>
      </c>
      <c r="I654" s="2">
        <v>1</v>
      </c>
      <c r="J654" s="2">
        <v>0</v>
      </c>
      <c r="K654">
        <f t="shared" si="70"/>
        <v>33.227524315876146</v>
      </c>
      <c r="L654">
        <f t="shared" si="71"/>
        <v>32.49261794517642</v>
      </c>
      <c r="M654">
        <f t="shared" si="72"/>
        <v>0.6758810170797982</v>
      </c>
      <c r="N654">
        <f t="shared" si="73"/>
        <v>0.32411898292020186</v>
      </c>
      <c r="O654">
        <f t="shared" si="74"/>
        <v>0.6758810170797982</v>
      </c>
      <c r="P654">
        <f t="shared" si="75"/>
        <v>-0.39173822866777747</v>
      </c>
    </row>
    <row r="655" spans="1:16" x14ac:dyDescent="0.3">
      <c r="A655" s="2">
        <f t="shared" si="76"/>
        <v>651</v>
      </c>
      <c r="B655" s="2">
        <v>15</v>
      </c>
      <c r="C655" s="2">
        <v>0.4</v>
      </c>
      <c r="D655" s="2">
        <v>20</v>
      </c>
      <c r="E655" s="2">
        <v>1</v>
      </c>
      <c r="F655" s="2">
        <v>60</v>
      </c>
      <c r="G655" s="2">
        <v>0.9</v>
      </c>
      <c r="H655" s="2">
        <v>20</v>
      </c>
      <c r="I655" s="2">
        <v>0</v>
      </c>
      <c r="J655" s="2">
        <v>1</v>
      </c>
      <c r="K655">
        <f t="shared" si="70"/>
        <v>33.718060114204398</v>
      </c>
      <c r="L655">
        <f t="shared" si="71"/>
        <v>34.72632581616363</v>
      </c>
      <c r="M655">
        <f t="shared" si="72"/>
        <v>0.26731939281282213</v>
      </c>
      <c r="N655">
        <f t="shared" si="73"/>
        <v>0.73268060718717776</v>
      </c>
      <c r="O655">
        <f t="shared" si="74"/>
        <v>0.73268060718717776</v>
      </c>
      <c r="P655">
        <f t="shared" si="75"/>
        <v>-0.31104540576963419</v>
      </c>
    </row>
    <row r="656" spans="1:16" x14ac:dyDescent="0.3">
      <c r="A656" s="2">
        <f t="shared" si="76"/>
        <v>652</v>
      </c>
      <c r="B656" s="2">
        <v>25</v>
      </c>
      <c r="C656" s="2">
        <v>0.4</v>
      </c>
      <c r="D656" s="2">
        <v>15</v>
      </c>
      <c r="E656" s="2">
        <v>1</v>
      </c>
      <c r="F656" s="2">
        <v>45</v>
      </c>
      <c r="G656" s="2">
        <v>0.9</v>
      </c>
      <c r="H656" s="2">
        <v>20</v>
      </c>
      <c r="I656" s="2">
        <v>1</v>
      </c>
      <c r="J656" s="2">
        <v>0</v>
      </c>
      <c r="K656">
        <f t="shared" si="70"/>
        <v>31.812100683288435</v>
      </c>
      <c r="L656">
        <f t="shared" si="71"/>
        <v>28.51668169601195</v>
      </c>
      <c r="M656">
        <f t="shared" si="72"/>
        <v>0.96427132026156659</v>
      </c>
      <c r="N656">
        <f t="shared" si="73"/>
        <v>3.5728679738433369E-2</v>
      </c>
      <c r="O656">
        <f t="shared" si="74"/>
        <v>0.96427132026156659</v>
      </c>
      <c r="P656">
        <f t="shared" si="75"/>
        <v>-3.6382571418438821E-2</v>
      </c>
    </row>
    <row r="657" spans="1:16" x14ac:dyDescent="0.3">
      <c r="A657" s="2">
        <f t="shared" si="76"/>
        <v>653</v>
      </c>
      <c r="B657" s="2">
        <v>15</v>
      </c>
      <c r="C657" s="2">
        <v>0.6</v>
      </c>
      <c r="D657" s="2">
        <v>15</v>
      </c>
      <c r="E657" s="2">
        <v>1</v>
      </c>
      <c r="F657" s="2">
        <v>45</v>
      </c>
      <c r="G657" s="2">
        <v>1</v>
      </c>
      <c r="H657" s="2">
        <v>20</v>
      </c>
      <c r="I657" s="2">
        <v>1</v>
      </c>
      <c r="J657" s="2">
        <v>0</v>
      </c>
      <c r="K657">
        <f t="shared" si="70"/>
        <v>30.396677050700724</v>
      </c>
      <c r="L657">
        <f t="shared" si="71"/>
        <v>22.335440386869656</v>
      </c>
      <c r="M657">
        <f t="shared" si="72"/>
        <v>0.99968456318025534</v>
      </c>
      <c r="N657">
        <f t="shared" si="73"/>
        <v>3.1543681974472554E-4</v>
      </c>
      <c r="O657">
        <f t="shared" si="74"/>
        <v>0.99968456318025534</v>
      </c>
      <c r="P657">
        <f t="shared" si="75"/>
        <v>-3.1548658040279291E-4</v>
      </c>
    </row>
    <row r="658" spans="1:16" x14ac:dyDescent="0.3">
      <c r="A658" s="2">
        <f t="shared" si="76"/>
        <v>654</v>
      </c>
      <c r="B658" s="2">
        <v>20</v>
      </c>
      <c r="C658" s="2">
        <v>0.6</v>
      </c>
      <c r="D658" s="2">
        <v>20</v>
      </c>
      <c r="E658" s="2">
        <v>1</v>
      </c>
      <c r="F658" s="2">
        <v>90</v>
      </c>
      <c r="G658" s="2">
        <v>1</v>
      </c>
      <c r="H658" s="2">
        <v>10</v>
      </c>
      <c r="I658" s="2">
        <v>0</v>
      </c>
      <c r="J658" s="2">
        <v>1</v>
      </c>
      <c r="K658">
        <f t="shared" si="70"/>
        <v>16.698037801533648</v>
      </c>
      <c r="L658">
        <f t="shared" si="71"/>
        <v>32.49261794517642</v>
      </c>
      <c r="M658">
        <f t="shared" si="72"/>
        <v>1.3819773958782065E-7</v>
      </c>
      <c r="N658">
        <f t="shared" si="73"/>
        <v>0.99999986180226041</v>
      </c>
      <c r="O658">
        <f t="shared" si="74"/>
        <v>0.99999986180226041</v>
      </c>
      <c r="P658">
        <f t="shared" si="75"/>
        <v>-1.3819774913465248E-7</v>
      </c>
    </row>
    <row r="659" spans="1:16" x14ac:dyDescent="0.3">
      <c r="A659" s="2">
        <f t="shared" si="76"/>
        <v>655</v>
      </c>
      <c r="B659" s="2">
        <v>25</v>
      </c>
      <c r="C659" s="2">
        <v>0.8</v>
      </c>
      <c r="D659" s="2">
        <v>20</v>
      </c>
      <c r="E659" s="2">
        <v>1</v>
      </c>
      <c r="F659" s="2">
        <v>60</v>
      </c>
      <c r="G659" s="2">
        <v>0.8</v>
      </c>
      <c r="H659" s="2">
        <v>20</v>
      </c>
      <c r="I659" s="2">
        <v>1</v>
      </c>
      <c r="J659" s="2">
        <v>0</v>
      </c>
      <c r="K659">
        <f t="shared" si="70"/>
        <v>35.133483746792109</v>
      </c>
      <c r="L659">
        <f t="shared" si="71"/>
        <v>30.258910074189213</v>
      </c>
      <c r="M659">
        <f t="shared" si="72"/>
        <v>0.99241955215088329</v>
      </c>
      <c r="N659">
        <f t="shared" si="73"/>
        <v>7.5804478491167488E-3</v>
      </c>
      <c r="O659">
        <f t="shared" si="74"/>
        <v>0.99241955215088329</v>
      </c>
      <c r="P659">
        <f t="shared" si="75"/>
        <v>-7.6093254733598115E-3</v>
      </c>
    </row>
    <row r="660" spans="1:16" x14ac:dyDescent="0.3">
      <c r="A660" s="2">
        <f t="shared" si="76"/>
        <v>656</v>
      </c>
      <c r="B660" s="2">
        <v>20</v>
      </c>
      <c r="C660" s="2">
        <v>0.4</v>
      </c>
      <c r="D660" s="2">
        <v>15</v>
      </c>
      <c r="E660" s="2">
        <v>1</v>
      </c>
      <c r="F660" s="2">
        <v>60</v>
      </c>
      <c r="G660" s="2">
        <v>0.9</v>
      </c>
      <c r="H660" s="2">
        <v>10</v>
      </c>
      <c r="I660" s="2">
        <v>0</v>
      </c>
      <c r="J660" s="2">
        <v>1</v>
      </c>
      <c r="K660">
        <f t="shared" si="70"/>
        <v>14.301542572289428</v>
      </c>
      <c r="L660">
        <f t="shared" si="71"/>
        <v>27.200837216626923</v>
      </c>
      <c r="M660">
        <f t="shared" si="72"/>
        <v>2.4998067123293789E-6</v>
      </c>
      <c r="N660">
        <f t="shared" si="73"/>
        <v>0.9999975001932877</v>
      </c>
      <c r="O660">
        <f t="shared" si="74"/>
        <v>0.9999975001932877</v>
      </c>
      <c r="P660">
        <f t="shared" si="75"/>
        <v>-2.4998098368192209E-6</v>
      </c>
    </row>
    <row r="661" spans="1:16" x14ac:dyDescent="0.3">
      <c r="A661" s="2">
        <f t="shared" si="76"/>
        <v>657</v>
      </c>
      <c r="B661" s="2">
        <v>15</v>
      </c>
      <c r="C661" s="2">
        <v>0.8</v>
      </c>
      <c r="D661" s="2">
        <v>25</v>
      </c>
      <c r="E661" s="2">
        <v>1</v>
      </c>
      <c r="F661" s="2">
        <v>90</v>
      </c>
      <c r="G661" s="2">
        <v>0.8</v>
      </c>
      <c r="H661" s="2">
        <v>40</v>
      </c>
      <c r="I661" s="2">
        <v>1</v>
      </c>
      <c r="J661" s="2">
        <v>0</v>
      </c>
      <c r="K661">
        <f t="shared" si="70"/>
        <v>77.778437692453977</v>
      </c>
      <c r="L661">
        <f t="shared" si="71"/>
        <v>36.468554194340904</v>
      </c>
      <c r="M661">
        <f t="shared" si="72"/>
        <v>1</v>
      </c>
      <c r="N661">
        <f t="shared" si="73"/>
        <v>1.1464247375703154E-18</v>
      </c>
      <c r="O661">
        <f t="shared" si="74"/>
        <v>1</v>
      </c>
      <c r="P661">
        <f t="shared" si="75"/>
        <v>0</v>
      </c>
    </row>
    <row r="662" spans="1:16" x14ac:dyDescent="0.3">
      <c r="A662" s="2">
        <f t="shared" si="76"/>
        <v>658</v>
      </c>
      <c r="B662" s="2">
        <v>20</v>
      </c>
      <c r="C662" s="2">
        <v>0.6</v>
      </c>
      <c r="D662" s="2">
        <v>25</v>
      </c>
      <c r="E662" s="2">
        <v>1</v>
      </c>
      <c r="F662" s="2">
        <v>45</v>
      </c>
      <c r="G662" s="2">
        <v>1</v>
      </c>
      <c r="H662" s="2">
        <v>40</v>
      </c>
      <c r="I662" s="2">
        <v>1</v>
      </c>
      <c r="J662" s="2">
        <v>0</v>
      </c>
      <c r="K662">
        <f t="shared" si="70"/>
        <v>69.229712134530658</v>
      </c>
      <c r="L662">
        <f t="shared" si="71"/>
        <v>41.33395102409817</v>
      </c>
      <c r="M662">
        <f t="shared" si="72"/>
        <v>0.99999999999923261</v>
      </c>
      <c r="N662">
        <f t="shared" si="73"/>
        <v>7.6740545367377543E-13</v>
      </c>
      <c r="O662">
        <f t="shared" si="74"/>
        <v>0.99999999999923261</v>
      </c>
      <c r="P662">
        <f t="shared" si="75"/>
        <v>-7.6738615462120264E-13</v>
      </c>
    </row>
    <row r="663" spans="1:16" x14ac:dyDescent="0.3">
      <c r="A663" s="2">
        <f t="shared" si="76"/>
        <v>659</v>
      </c>
      <c r="B663" s="2">
        <v>15</v>
      </c>
      <c r="C663" s="2">
        <v>0.8</v>
      </c>
      <c r="D663" s="2">
        <v>25</v>
      </c>
      <c r="E663" s="2">
        <v>1</v>
      </c>
      <c r="F663" s="2">
        <v>45</v>
      </c>
      <c r="G663" s="2">
        <v>0.8</v>
      </c>
      <c r="H663" s="2">
        <v>40</v>
      </c>
      <c r="I663" s="2">
        <v>1</v>
      </c>
      <c r="J663" s="2">
        <v>0</v>
      </c>
      <c r="K663">
        <f t="shared" si="70"/>
        <v>72.060559399706079</v>
      </c>
      <c r="L663">
        <f t="shared" si="71"/>
        <v>36.468554194340904</v>
      </c>
      <c r="M663">
        <f t="shared" si="72"/>
        <v>0.99999999999999967</v>
      </c>
      <c r="N663">
        <f t="shared" si="73"/>
        <v>3.4880968857525286E-16</v>
      </c>
      <c r="O663">
        <f t="shared" si="74"/>
        <v>0.99999999999999967</v>
      </c>
      <c r="P663">
        <f t="shared" si="75"/>
        <v>-3.3306690738754701E-16</v>
      </c>
    </row>
    <row r="664" spans="1:16" x14ac:dyDescent="0.3">
      <c r="A664" s="2">
        <f t="shared" si="76"/>
        <v>660</v>
      </c>
      <c r="B664" s="2">
        <v>20</v>
      </c>
      <c r="C664" s="2">
        <v>0.6</v>
      </c>
      <c r="D664" s="2">
        <v>25</v>
      </c>
      <c r="E664" s="2">
        <v>1</v>
      </c>
      <c r="F664" s="2">
        <v>60</v>
      </c>
      <c r="G664" s="2">
        <v>1</v>
      </c>
      <c r="H664" s="2">
        <v>10</v>
      </c>
      <c r="I664" s="2">
        <v>0</v>
      </c>
      <c r="J664" s="2">
        <v>1</v>
      </c>
      <c r="K664">
        <f t="shared" si="70"/>
        <v>12.886118939701717</v>
      </c>
      <c r="L664">
        <f t="shared" si="71"/>
        <v>41.33395102409817</v>
      </c>
      <c r="M664">
        <f t="shared" si="72"/>
        <v>4.4183844690016194E-13</v>
      </c>
      <c r="N664">
        <f t="shared" si="73"/>
        <v>0.99999999999955824</v>
      </c>
      <c r="O664">
        <f t="shared" si="74"/>
        <v>0.99999999999955824</v>
      </c>
      <c r="P664">
        <f t="shared" si="75"/>
        <v>-4.4175774149844738E-13</v>
      </c>
    </row>
    <row r="665" spans="1:16" x14ac:dyDescent="0.3">
      <c r="A665" s="2">
        <f t="shared" si="76"/>
        <v>661</v>
      </c>
      <c r="B665" s="2">
        <v>25</v>
      </c>
      <c r="C665" s="2">
        <v>0.8</v>
      </c>
      <c r="D665" s="2">
        <v>25</v>
      </c>
      <c r="E665" s="2">
        <v>1</v>
      </c>
      <c r="F665" s="2">
        <v>45</v>
      </c>
      <c r="G665" s="2">
        <v>1</v>
      </c>
      <c r="H665" s="2">
        <v>20</v>
      </c>
      <c r="I665" s="2">
        <v>0</v>
      </c>
      <c r="J665" s="2">
        <v>1</v>
      </c>
      <c r="K665">
        <f t="shared" si="70"/>
        <v>30.396677050700724</v>
      </c>
      <c r="L665">
        <f t="shared" si="71"/>
        <v>39.100243153110959</v>
      </c>
      <c r="M665">
        <f t="shared" si="72"/>
        <v>1.6596525787162996E-4</v>
      </c>
      <c r="N665">
        <f t="shared" si="73"/>
        <v>0.9998340347421284</v>
      </c>
      <c r="O665">
        <f t="shared" si="74"/>
        <v>0.9998340347421284</v>
      </c>
      <c r="P665">
        <f t="shared" si="75"/>
        <v>-1.6597903162901117E-4</v>
      </c>
    </row>
    <row r="666" spans="1:16" x14ac:dyDescent="0.3">
      <c r="A666" s="2">
        <f t="shared" si="76"/>
        <v>662</v>
      </c>
      <c r="B666" s="2">
        <v>25</v>
      </c>
      <c r="C666" s="2">
        <v>0.8</v>
      </c>
      <c r="D666" s="2">
        <v>15</v>
      </c>
      <c r="E666" s="2">
        <v>1</v>
      </c>
      <c r="F666" s="2">
        <v>60</v>
      </c>
      <c r="G666" s="2">
        <v>0.9</v>
      </c>
      <c r="H666" s="2">
        <v>20</v>
      </c>
      <c r="I666" s="2">
        <v>1</v>
      </c>
      <c r="J666" s="2">
        <v>0</v>
      </c>
      <c r="K666">
        <f t="shared" si="70"/>
        <v>33.718060114204398</v>
      </c>
      <c r="L666">
        <f t="shared" si="71"/>
        <v>21.417576995267474</v>
      </c>
      <c r="M666">
        <f t="shared" si="72"/>
        <v>0.99999545047473803</v>
      </c>
      <c r="N666">
        <f t="shared" si="73"/>
        <v>4.5495252619747412E-6</v>
      </c>
      <c r="O666">
        <f t="shared" si="74"/>
        <v>0.99999545047473803</v>
      </c>
      <c r="P666">
        <f t="shared" si="75"/>
        <v>-4.549535611086836E-6</v>
      </c>
    </row>
    <row r="667" spans="1:16" x14ac:dyDescent="0.3">
      <c r="A667" s="2">
        <f t="shared" si="76"/>
        <v>663</v>
      </c>
      <c r="B667" s="2">
        <v>25</v>
      </c>
      <c r="C667" s="2">
        <v>0.8</v>
      </c>
      <c r="D667" s="2">
        <v>25</v>
      </c>
      <c r="E667" s="2">
        <v>1</v>
      </c>
      <c r="F667" s="2">
        <v>60</v>
      </c>
      <c r="G667" s="2">
        <v>0.9</v>
      </c>
      <c r="H667" s="2">
        <v>20</v>
      </c>
      <c r="I667" s="2">
        <v>0</v>
      </c>
      <c r="J667" s="2">
        <v>1</v>
      </c>
      <c r="K667">
        <f t="shared" si="70"/>
        <v>33.718060114204398</v>
      </c>
      <c r="L667">
        <f t="shared" si="71"/>
        <v>39.100243153110959</v>
      </c>
      <c r="M667">
        <f t="shared" si="72"/>
        <v>4.5767310726822306E-3</v>
      </c>
      <c r="N667">
        <f t="shared" si="73"/>
        <v>0.99542326892731781</v>
      </c>
      <c r="O667">
        <f t="shared" si="74"/>
        <v>0.99542326892731781</v>
      </c>
      <c r="P667">
        <f t="shared" si="75"/>
        <v>-4.5872363718790637E-3</v>
      </c>
    </row>
    <row r="668" spans="1:16" x14ac:dyDescent="0.3">
      <c r="A668" s="2">
        <f t="shared" si="76"/>
        <v>664</v>
      </c>
      <c r="B668" s="2">
        <v>20</v>
      </c>
      <c r="C668" s="2">
        <v>0.8</v>
      </c>
      <c r="D668" s="2">
        <v>20</v>
      </c>
      <c r="E668" s="2">
        <v>1</v>
      </c>
      <c r="F668" s="2">
        <v>60</v>
      </c>
      <c r="G668" s="2">
        <v>1</v>
      </c>
      <c r="H668" s="2">
        <v>20</v>
      </c>
      <c r="I668" s="2">
        <v>1</v>
      </c>
      <c r="J668" s="2">
        <v>0</v>
      </c>
      <c r="K668">
        <f t="shared" si="70"/>
        <v>32.302636481616688</v>
      </c>
      <c r="L668">
        <f t="shared" si="71"/>
        <v>28.943065594804185</v>
      </c>
      <c r="M668">
        <f t="shared" si="72"/>
        <v>0.96641685249991305</v>
      </c>
      <c r="N668">
        <f t="shared" si="73"/>
        <v>3.3583147500086931E-2</v>
      </c>
      <c r="O668">
        <f t="shared" si="74"/>
        <v>0.96641685249991305</v>
      </c>
      <c r="P668">
        <f t="shared" si="75"/>
        <v>-3.4160013522432808E-2</v>
      </c>
    </row>
    <row r="669" spans="1:16" x14ac:dyDescent="0.3">
      <c r="A669" s="2">
        <f t="shared" si="76"/>
        <v>665</v>
      </c>
      <c r="B669" s="2">
        <v>25</v>
      </c>
      <c r="C669" s="2">
        <v>0.8</v>
      </c>
      <c r="D669" s="2">
        <v>20</v>
      </c>
      <c r="E669" s="2">
        <v>1</v>
      </c>
      <c r="F669" s="2">
        <v>60</v>
      </c>
      <c r="G669" s="2">
        <v>1</v>
      </c>
      <c r="H669" s="2">
        <v>40</v>
      </c>
      <c r="I669" s="2">
        <v>1</v>
      </c>
      <c r="J669" s="2">
        <v>0</v>
      </c>
      <c r="K669">
        <f t="shared" si="70"/>
        <v>71.135671565446629</v>
      </c>
      <c r="L669">
        <f t="shared" si="71"/>
        <v>30.258910074189213</v>
      </c>
      <c r="M669">
        <f t="shared" si="72"/>
        <v>1</v>
      </c>
      <c r="N669">
        <f t="shared" si="73"/>
        <v>1.7678607196529161E-18</v>
      </c>
      <c r="O669">
        <f t="shared" si="74"/>
        <v>1</v>
      </c>
      <c r="P669">
        <f t="shared" si="75"/>
        <v>0</v>
      </c>
    </row>
    <row r="670" spans="1:16" x14ac:dyDescent="0.3">
      <c r="A670" s="2">
        <f t="shared" si="76"/>
        <v>666</v>
      </c>
      <c r="B670" s="2">
        <v>20</v>
      </c>
      <c r="C670" s="2">
        <v>0.4</v>
      </c>
      <c r="D670" s="2">
        <v>25</v>
      </c>
      <c r="E670" s="2">
        <v>1</v>
      </c>
      <c r="F670" s="2">
        <v>90</v>
      </c>
      <c r="G670" s="2">
        <v>0.8</v>
      </c>
      <c r="H670" s="2">
        <v>20</v>
      </c>
      <c r="I670" s="2">
        <v>0</v>
      </c>
      <c r="J670" s="2">
        <v>1</v>
      </c>
      <c r="K670">
        <f t="shared" si="70"/>
        <v>38.945402608624036</v>
      </c>
      <c r="L670">
        <f t="shared" si="71"/>
        <v>44.883503374470401</v>
      </c>
      <c r="M670">
        <f t="shared" si="72"/>
        <v>2.630097586845636E-3</v>
      </c>
      <c r="N670">
        <f t="shared" si="73"/>
        <v>0.99736990241315437</v>
      </c>
      <c r="O670">
        <f t="shared" si="74"/>
        <v>0.99736990241315437</v>
      </c>
      <c r="P670">
        <f t="shared" si="75"/>
        <v>-2.6335623699823589E-3</v>
      </c>
    </row>
    <row r="671" spans="1:16" x14ac:dyDescent="0.3">
      <c r="A671" s="2">
        <f t="shared" si="76"/>
        <v>667</v>
      </c>
      <c r="B671" s="2">
        <v>20</v>
      </c>
      <c r="C671" s="2">
        <v>0.6</v>
      </c>
      <c r="D671" s="2">
        <v>25</v>
      </c>
      <c r="E671" s="2">
        <v>1</v>
      </c>
      <c r="F671" s="2">
        <v>60</v>
      </c>
      <c r="G671" s="2">
        <v>1</v>
      </c>
      <c r="H671" s="2">
        <v>10</v>
      </c>
      <c r="I671" s="2">
        <v>0</v>
      </c>
      <c r="J671" s="2">
        <v>1</v>
      </c>
      <c r="K671">
        <f t="shared" si="70"/>
        <v>12.886118939701717</v>
      </c>
      <c r="L671">
        <f t="shared" si="71"/>
        <v>41.33395102409817</v>
      </c>
      <c r="M671">
        <f t="shared" si="72"/>
        <v>4.4183844690016194E-13</v>
      </c>
      <c r="N671">
        <f t="shared" si="73"/>
        <v>0.99999999999955824</v>
      </c>
      <c r="O671">
        <f t="shared" si="74"/>
        <v>0.99999999999955824</v>
      </c>
      <c r="P671">
        <f t="shared" si="75"/>
        <v>-4.4175774149844738E-13</v>
      </c>
    </row>
    <row r="672" spans="1:16" x14ac:dyDescent="0.3">
      <c r="A672" s="2">
        <f t="shared" si="76"/>
        <v>668</v>
      </c>
      <c r="B672" s="2">
        <v>15</v>
      </c>
      <c r="C672" s="2">
        <v>0.8</v>
      </c>
      <c r="D672" s="2">
        <v>15</v>
      </c>
      <c r="E672" s="2">
        <v>1</v>
      </c>
      <c r="F672" s="2">
        <v>60</v>
      </c>
      <c r="G672" s="2">
        <v>1</v>
      </c>
      <c r="H672" s="2">
        <v>20</v>
      </c>
      <c r="I672" s="2">
        <v>1</v>
      </c>
      <c r="J672" s="2">
        <v>0</v>
      </c>
      <c r="K672">
        <f t="shared" si="70"/>
        <v>32.302636481616688</v>
      </c>
      <c r="L672">
        <f t="shared" si="71"/>
        <v>18.785888036497418</v>
      </c>
      <c r="M672">
        <f t="shared" si="72"/>
        <v>0.99999865181294911</v>
      </c>
      <c r="N672">
        <f t="shared" si="73"/>
        <v>1.3481870508975802E-6</v>
      </c>
      <c r="O672">
        <f t="shared" si="74"/>
        <v>0.99999865181294911</v>
      </c>
      <c r="P672">
        <f t="shared" si="75"/>
        <v>-1.3481879596918854E-6</v>
      </c>
    </row>
    <row r="673" spans="1:16" x14ac:dyDescent="0.3">
      <c r="A673" s="2">
        <f t="shared" si="76"/>
        <v>669</v>
      </c>
      <c r="B673" s="2">
        <v>20</v>
      </c>
      <c r="C673" s="2">
        <v>0.4</v>
      </c>
      <c r="D673" s="2">
        <v>25</v>
      </c>
      <c r="E673" s="2">
        <v>1</v>
      </c>
      <c r="F673" s="2">
        <v>60</v>
      </c>
      <c r="G673" s="2">
        <v>0.9</v>
      </c>
      <c r="H673" s="2">
        <v>40</v>
      </c>
      <c r="I673" s="2">
        <v>1</v>
      </c>
      <c r="J673" s="2">
        <v>0</v>
      </c>
      <c r="K673">
        <f t="shared" si="70"/>
        <v>72.551095198034346</v>
      </c>
      <c r="L673">
        <f t="shared" si="71"/>
        <v>44.883503374470401</v>
      </c>
      <c r="M673">
        <f t="shared" si="72"/>
        <v>0.99999999999903588</v>
      </c>
      <c r="N673">
        <f t="shared" si="73"/>
        <v>9.6408992296655675E-13</v>
      </c>
      <c r="O673">
        <f t="shared" si="74"/>
        <v>0.99999999999903588</v>
      </c>
      <c r="P673">
        <f t="shared" si="75"/>
        <v>-9.6411767458495062E-13</v>
      </c>
    </row>
    <row r="674" spans="1:16" x14ac:dyDescent="0.3">
      <c r="A674" s="2">
        <f t="shared" si="76"/>
        <v>670</v>
      </c>
      <c r="B674" s="2">
        <v>25</v>
      </c>
      <c r="C674" s="2">
        <v>0.6</v>
      </c>
      <c r="D674" s="2">
        <v>25</v>
      </c>
      <c r="E674" s="2">
        <v>1</v>
      </c>
      <c r="F674" s="2">
        <v>90</v>
      </c>
      <c r="G674" s="2">
        <v>1</v>
      </c>
      <c r="H674" s="2">
        <v>40</v>
      </c>
      <c r="I674" s="2">
        <v>1</v>
      </c>
      <c r="J674" s="2">
        <v>0</v>
      </c>
      <c r="K674">
        <f t="shared" si="70"/>
        <v>74.947590427278556</v>
      </c>
      <c r="L674">
        <f t="shared" si="71"/>
        <v>42.649795503483197</v>
      </c>
      <c r="M674">
        <f t="shared" si="72"/>
        <v>0.99999999999999067</v>
      </c>
      <c r="N674">
        <f t="shared" si="73"/>
        <v>9.4025550964886653E-15</v>
      </c>
      <c r="O674">
        <f t="shared" si="74"/>
        <v>0.99999999999999067</v>
      </c>
      <c r="P674">
        <f t="shared" si="75"/>
        <v>-9.3258734068513591E-15</v>
      </c>
    </row>
    <row r="675" spans="1:16" x14ac:dyDescent="0.3">
      <c r="A675" s="2">
        <f t="shared" si="76"/>
        <v>671</v>
      </c>
      <c r="B675" s="2">
        <v>20</v>
      </c>
      <c r="C675" s="2">
        <v>0.4</v>
      </c>
      <c r="D675" s="2">
        <v>25</v>
      </c>
      <c r="E675" s="2">
        <v>1</v>
      </c>
      <c r="F675" s="2">
        <v>90</v>
      </c>
      <c r="G675" s="2">
        <v>0.9</v>
      </c>
      <c r="H675" s="2">
        <v>40</v>
      </c>
      <c r="I675" s="2">
        <v>1</v>
      </c>
      <c r="J675" s="2">
        <v>0</v>
      </c>
      <c r="K675">
        <f t="shared" si="70"/>
        <v>76.363014059866273</v>
      </c>
      <c r="L675">
        <f t="shared" si="71"/>
        <v>44.883503374470401</v>
      </c>
      <c r="M675">
        <f t="shared" si="72"/>
        <v>0.99999999999997868</v>
      </c>
      <c r="N675">
        <f t="shared" si="73"/>
        <v>2.1311902288045985E-14</v>
      </c>
      <c r="O675">
        <f t="shared" si="74"/>
        <v>0.99999999999997868</v>
      </c>
      <c r="P675">
        <f t="shared" si="75"/>
        <v>-2.1316282072803233E-14</v>
      </c>
    </row>
    <row r="676" spans="1:16" x14ac:dyDescent="0.3">
      <c r="A676" s="2">
        <f t="shared" si="76"/>
        <v>672</v>
      </c>
      <c r="B676" s="2">
        <v>15</v>
      </c>
      <c r="C676" s="2">
        <v>0.8</v>
      </c>
      <c r="D676" s="2">
        <v>25</v>
      </c>
      <c r="E676" s="2">
        <v>1</v>
      </c>
      <c r="F676" s="2">
        <v>90</v>
      </c>
      <c r="G676" s="2">
        <v>0.9</v>
      </c>
      <c r="H676" s="2">
        <v>40</v>
      </c>
      <c r="I676" s="2">
        <v>1</v>
      </c>
      <c r="J676" s="2">
        <v>0</v>
      </c>
      <c r="K676">
        <f t="shared" si="70"/>
        <v>76.363014059866273</v>
      </c>
      <c r="L676">
        <f t="shared" si="71"/>
        <v>36.468554194340904</v>
      </c>
      <c r="M676">
        <f t="shared" si="72"/>
        <v>1</v>
      </c>
      <c r="N676">
        <f t="shared" si="73"/>
        <v>4.7212415646583852E-18</v>
      </c>
      <c r="O676">
        <f t="shared" si="74"/>
        <v>1</v>
      </c>
      <c r="P676">
        <f t="shared" si="75"/>
        <v>0</v>
      </c>
    </row>
    <row r="677" spans="1:16" x14ac:dyDescent="0.3">
      <c r="A677" s="2">
        <f t="shared" si="76"/>
        <v>673</v>
      </c>
      <c r="B677" s="2">
        <v>20</v>
      </c>
      <c r="C677" s="2">
        <v>0.8</v>
      </c>
      <c r="D677" s="2">
        <v>25</v>
      </c>
      <c r="E677" s="2">
        <v>1</v>
      </c>
      <c r="F677" s="2">
        <v>90</v>
      </c>
      <c r="G677" s="2">
        <v>0.8</v>
      </c>
      <c r="H677" s="2">
        <v>10</v>
      </c>
      <c r="I677" s="2">
        <v>0</v>
      </c>
      <c r="J677" s="2">
        <v>1</v>
      </c>
      <c r="K677">
        <f t="shared" si="70"/>
        <v>19.528885066709069</v>
      </c>
      <c r="L677">
        <f t="shared" si="71"/>
        <v>37.784398673725924</v>
      </c>
      <c r="M677">
        <f t="shared" si="72"/>
        <v>1.1795902414226291E-8</v>
      </c>
      <c r="N677">
        <f t="shared" si="73"/>
        <v>0.99999998820409752</v>
      </c>
      <c r="O677">
        <f t="shared" si="74"/>
        <v>0.99999998820409752</v>
      </c>
      <c r="P677">
        <f t="shared" si="75"/>
        <v>-1.179590254659033E-8</v>
      </c>
    </row>
    <row r="678" spans="1:16" x14ac:dyDescent="0.3">
      <c r="A678" s="2">
        <f t="shared" si="76"/>
        <v>674</v>
      </c>
      <c r="B678" s="2">
        <v>15</v>
      </c>
      <c r="C678" s="2">
        <v>0.6</v>
      </c>
      <c r="D678" s="2">
        <v>20</v>
      </c>
      <c r="E678" s="2">
        <v>1</v>
      </c>
      <c r="F678" s="2">
        <v>45</v>
      </c>
      <c r="G678" s="2">
        <v>0.8</v>
      </c>
      <c r="H678" s="2">
        <v>20</v>
      </c>
      <c r="I678" s="2">
        <v>1</v>
      </c>
      <c r="J678" s="2">
        <v>0</v>
      </c>
      <c r="K678">
        <f t="shared" si="70"/>
        <v>33.227524315876146</v>
      </c>
      <c r="L678">
        <f t="shared" si="71"/>
        <v>31.176773465791396</v>
      </c>
      <c r="M678">
        <f t="shared" si="72"/>
        <v>0.88602346596000181</v>
      </c>
      <c r="N678">
        <f t="shared" si="73"/>
        <v>0.11397653403999809</v>
      </c>
      <c r="O678">
        <f t="shared" si="74"/>
        <v>0.88602346596000181</v>
      </c>
      <c r="P678">
        <f t="shared" si="75"/>
        <v>-0.12101184344561591</v>
      </c>
    </row>
    <row r="679" spans="1:16" x14ac:dyDescent="0.3">
      <c r="A679" s="2">
        <f t="shared" si="76"/>
        <v>675</v>
      </c>
      <c r="B679" s="2">
        <v>15</v>
      </c>
      <c r="C679" s="2">
        <v>0.6</v>
      </c>
      <c r="D679" s="2">
        <v>25</v>
      </c>
      <c r="E679" s="2">
        <v>1</v>
      </c>
      <c r="F679" s="2">
        <v>45</v>
      </c>
      <c r="G679" s="2">
        <v>0.9</v>
      </c>
      <c r="H679" s="2">
        <v>40</v>
      </c>
      <c r="I679" s="2">
        <v>1</v>
      </c>
      <c r="J679" s="2">
        <v>0</v>
      </c>
      <c r="K679">
        <f t="shared" si="70"/>
        <v>70.645135767118376</v>
      </c>
      <c r="L679">
        <f t="shared" si="71"/>
        <v>40.018106544713142</v>
      </c>
      <c r="M679">
        <f t="shared" si="72"/>
        <v>0.99999999999995004</v>
      </c>
      <c r="N679">
        <f t="shared" si="73"/>
        <v>4.9986210255782915E-14</v>
      </c>
      <c r="O679">
        <f t="shared" si="74"/>
        <v>0.99999999999995004</v>
      </c>
      <c r="P679">
        <f t="shared" si="75"/>
        <v>-4.9960036108133294E-14</v>
      </c>
    </row>
    <row r="680" spans="1:16" x14ac:dyDescent="0.3">
      <c r="A680" s="2">
        <f t="shared" si="76"/>
        <v>676</v>
      </c>
      <c r="B680" s="2">
        <v>25</v>
      </c>
      <c r="C680" s="2">
        <v>0.6</v>
      </c>
      <c r="D680" s="2">
        <v>15</v>
      </c>
      <c r="E680" s="2">
        <v>1</v>
      </c>
      <c r="F680" s="2">
        <v>90</v>
      </c>
      <c r="G680" s="2">
        <v>1</v>
      </c>
      <c r="H680" s="2">
        <v>10</v>
      </c>
      <c r="I680" s="2">
        <v>0</v>
      </c>
      <c r="J680" s="2">
        <v>1</v>
      </c>
      <c r="K680">
        <f t="shared" si="70"/>
        <v>16.698037801533648</v>
      </c>
      <c r="L680">
        <f t="shared" si="71"/>
        <v>24.967129345639712</v>
      </c>
      <c r="M680">
        <f t="shared" si="72"/>
        <v>2.5625235705222811E-4</v>
      </c>
      <c r="N680">
        <f t="shared" si="73"/>
        <v>0.99974374764294771</v>
      </c>
      <c r="O680">
        <f t="shared" si="74"/>
        <v>0.99974374764294771</v>
      </c>
      <c r="P680">
        <f t="shared" si="75"/>
        <v>-2.5628519529757475E-4</v>
      </c>
    </row>
    <row r="681" spans="1:16" x14ac:dyDescent="0.3">
      <c r="A681" s="2">
        <f t="shared" si="76"/>
        <v>677</v>
      </c>
      <c r="B681" s="2">
        <v>15</v>
      </c>
      <c r="C681" s="2">
        <v>0.6</v>
      </c>
      <c r="D681" s="2">
        <v>15</v>
      </c>
      <c r="E681" s="2">
        <v>1</v>
      </c>
      <c r="F681" s="2">
        <v>45</v>
      </c>
      <c r="G681" s="2">
        <v>0.9</v>
      </c>
      <c r="H681" s="2">
        <v>10</v>
      </c>
      <c r="I681" s="2">
        <v>0</v>
      </c>
      <c r="J681" s="2">
        <v>1</v>
      </c>
      <c r="K681">
        <f t="shared" si="70"/>
        <v>12.395583141373463</v>
      </c>
      <c r="L681">
        <f t="shared" si="71"/>
        <v>22.335440386869656</v>
      </c>
      <c r="M681">
        <f t="shared" si="72"/>
        <v>4.821186243773149E-5</v>
      </c>
      <c r="N681">
        <f t="shared" si="73"/>
        <v>0.99995178813756225</v>
      </c>
      <c r="O681">
        <f t="shared" si="74"/>
        <v>0.99995178813756225</v>
      </c>
      <c r="P681">
        <f t="shared" si="75"/>
        <v>-4.821302466694805E-5</v>
      </c>
    </row>
    <row r="682" spans="1:16" x14ac:dyDescent="0.3">
      <c r="A682" s="2">
        <f t="shared" si="76"/>
        <v>678</v>
      </c>
      <c r="B682" s="2">
        <v>25</v>
      </c>
      <c r="C682" s="2">
        <v>0.4</v>
      </c>
      <c r="D682" s="2">
        <v>20</v>
      </c>
      <c r="E682" s="2">
        <v>1</v>
      </c>
      <c r="F682" s="2">
        <v>60</v>
      </c>
      <c r="G682" s="2">
        <v>0.9</v>
      </c>
      <c r="H682" s="2">
        <v>40</v>
      </c>
      <c r="I682" s="2">
        <v>1</v>
      </c>
      <c r="J682" s="2">
        <v>0</v>
      </c>
      <c r="K682">
        <f t="shared" si="70"/>
        <v>72.551095198034346</v>
      </c>
      <c r="L682">
        <f t="shared" si="71"/>
        <v>37.358014774933686</v>
      </c>
      <c r="M682">
        <f t="shared" si="72"/>
        <v>0.99999999999999944</v>
      </c>
      <c r="N682">
        <f t="shared" si="73"/>
        <v>5.198037054515715E-16</v>
      </c>
      <c r="O682">
        <f t="shared" si="74"/>
        <v>0.99999999999999944</v>
      </c>
      <c r="P682">
        <f t="shared" si="75"/>
        <v>-5.5511151231257847E-16</v>
      </c>
    </row>
    <row r="683" spans="1:16" x14ac:dyDescent="0.3">
      <c r="A683" s="2">
        <f t="shared" si="76"/>
        <v>679</v>
      </c>
      <c r="B683" s="2">
        <v>20</v>
      </c>
      <c r="C683" s="2">
        <v>0.8</v>
      </c>
      <c r="D683" s="2">
        <v>15</v>
      </c>
      <c r="E683" s="2">
        <v>1</v>
      </c>
      <c r="F683" s="2">
        <v>90</v>
      </c>
      <c r="G683" s="2">
        <v>0.8</v>
      </c>
      <c r="H683" s="2">
        <v>10</v>
      </c>
      <c r="I683" s="2">
        <v>0</v>
      </c>
      <c r="J683" s="2">
        <v>1</v>
      </c>
      <c r="K683">
        <f t="shared" si="70"/>
        <v>19.528885066709069</v>
      </c>
      <c r="L683">
        <f t="shared" si="71"/>
        <v>20.101732515882446</v>
      </c>
      <c r="M683">
        <f t="shared" si="72"/>
        <v>0.3605800507636554</v>
      </c>
      <c r="N683">
        <f t="shared" si="73"/>
        <v>0.63941994923634449</v>
      </c>
      <c r="O683">
        <f t="shared" si="74"/>
        <v>0.63941994923634449</v>
      </c>
      <c r="P683">
        <f t="shared" si="75"/>
        <v>-0.44719384291137948</v>
      </c>
    </row>
    <row r="684" spans="1:16" x14ac:dyDescent="0.3">
      <c r="A684" s="2">
        <f t="shared" si="76"/>
        <v>680</v>
      </c>
      <c r="B684" s="2">
        <v>15</v>
      </c>
      <c r="C684" s="2">
        <v>0.4</v>
      </c>
      <c r="D684" s="2">
        <v>25</v>
      </c>
      <c r="E684" s="2">
        <v>1</v>
      </c>
      <c r="F684" s="2">
        <v>45</v>
      </c>
      <c r="G684" s="2">
        <v>0.9</v>
      </c>
      <c r="H684" s="2">
        <v>40</v>
      </c>
      <c r="I684" s="2">
        <v>1</v>
      </c>
      <c r="J684" s="2">
        <v>0</v>
      </c>
      <c r="K684">
        <f t="shared" si="70"/>
        <v>70.645135767118376</v>
      </c>
      <c r="L684">
        <f t="shared" si="71"/>
        <v>43.567658895085373</v>
      </c>
      <c r="M684">
        <f t="shared" si="72"/>
        <v>0.99999999999826061</v>
      </c>
      <c r="N684">
        <f t="shared" si="73"/>
        <v>1.7394069884366904E-12</v>
      </c>
      <c r="O684">
        <f t="shared" si="74"/>
        <v>0.99999999999826061</v>
      </c>
      <c r="P684">
        <f t="shared" si="75"/>
        <v>-1.7393864126817455E-12</v>
      </c>
    </row>
    <row r="685" spans="1:16" x14ac:dyDescent="0.3">
      <c r="A685" s="2">
        <f t="shared" si="76"/>
        <v>681</v>
      </c>
      <c r="B685" s="2">
        <v>15</v>
      </c>
      <c r="C685" s="2">
        <v>0.4</v>
      </c>
      <c r="D685" s="2">
        <v>25</v>
      </c>
      <c r="E685" s="2">
        <v>1</v>
      </c>
      <c r="F685" s="2">
        <v>45</v>
      </c>
      <c r="G685" s="2">
        <v>0.9</v>
      </c>
      <c r="H685" s="2">
        <v>10</v>
      </c>
      <c r="I685" s="2">
        <v>0</v>
      </c>
      <c r="J685" s="2">
        <v>1</v>
      </c>
      <c r="K685">
        <f t="shared" si="70"/>
        <v>12.395583141373463</v>
      </c>
      <c r="L685">
        <f t="shared" si="71"/>
        <v>43.567658895085373</v>
      </c>
      <c r="M685">
        <f t="shared" si="72"/>
        <v>2.8982744660757503E-14</v>
      </c>
      <c r="N685">
        <f t="shared" si="73"/>
        <v>0.99999999999997102</v>
      </c>
      <c r="O685">
        <f t="shared" si="74"/>
        <v>0.99999999999997102</v>
      </c>
      <c r="P685">
        <f t="shared" si="75"/>
        <v>-2.8976820942717009E-14</v>
      </c>
    </row>
    <row r="686" spans="1:16" x14ac:dyDescent="0.3">
      <c r="A686" s="2">
        <f t="shared" si="76"/>
        <v>682</v>
      </c>
      <c r="B686" s="2">
        <v>25</v>
      </c>
      <c r="C686" s="2">
        <v>0.8</v>
      </c>
      <c r="D686" s="2">
        <v>15</v>
      </c>
      <c r="E686" s="2">
        <v>1</v>
      </c>
      <c r="F686" s="2">
        <v>90</v>
      </c>
      <c r="G686" s="2">
        <v>1</v>
      </c>
      <c r="H686" s="2">
        <v>40</v>
      </c>
      <c r="I686" s="2">
        <v>1</v>
      </c>
      <c r="J686" s="2">
        <v>0</v>
      </c>
      <c r="K686">
        <f t="shared" si="70"/>
        <v>74.947590427278556</v>
      </c>
      <c r="L686">
        <f t="shared" si="71"/>
        <v>21.417576995267474</v>
      </c>
      <c r="M686">
        <f t="shared" si="72"/>
        <v>1</v>
      </c>
      <c r="N686">
        <f t="shared" si="73"/>
        <v>5.6521092826106324E-24</v>
      </c>
      <c r="O686">
        <f t="shared" si="74"/>
        <v>1</v>
      </c>
      <c r="P686">
        <f t="shared" si="75"/>
        <v>0</v>
      </c>
    </row>
    <row r="687" spans="1:16" x14ac:dyDescent="0.3">
      <c r="A687" s="2">
        <f t="shared" si="76"/>
        <v>683</v>
      </c>
      <c r="B687" s="2">
        <v>25</v>
      </c>
      <c r="C687" s="2">
        <v>0.8</v>
      </c>
      <c r="D687" s="2">
        <v>20</v>
      </c>
      <c r="E687" s="2">
        <v>1</v>
      </c>
      <c r="F687" s="2">
        <v>45</v>
      </c>
      <c r="G687" s="2">
        <v>0.9</v>
      </c>
      <c r="H687" s="2">
        <v>40</v>
      </c>
      <c r="I687" s="2">
        <v>1</v>
      </c>
      <c r="J687" s="2">
        <v>0</v>
      </c>
      <c r="K687">
        <f t="shared" si="70"/>
        <v>70.645135767118376</v>
      </c>
      <c r="L687">
        <f t="shared" si="71"/>
        <v>30.258910074189213</v>
      </c>
      <c r="M687">
        <f t="shared" si="72"/>
        <v>1</v>
      </c>
      <c r="N687">
        <f t="shared" si="73"/>
        <v>2.8872542989758204E-18</v>
      </c>
      <c r="O687">
        <f t="shared" si="74"/>
        <v>1</v>
      </c>
      <c r="P687">
        <f t="shared" si="75"/>
        <v>0</v>
      </c>
    </row>
    <row r="688" spans="1:16" x14ac:dyDescent="0.3">
      <c r="A688" s="2">
        <f t="shared" si="76"/>
        <v>684</v>
      </c>
      <c r="B688" s="2">
        <v>20</v>
      </c>
      <c r="C688" s="2">
        <v>0.6</v>
      </c>
      <c r="D688" s="2">
        <v>20</v>
      </c>
      <c r="E688" s="2">
        <v>1</v>
      </c>
      <c r="F688" s="2">
        <v>90</v>
      </c>
      <c r="G688" s="2">
        <v>1</v>
      </c>
      <c r="H688" s="2">
        <v>10</v>
      </c>
      <c r="I688" s="2">
        <v>0</v>
      </c>
      <c r="J688" s="2">
        <v>1</v>
      </c>
      <c r="K688">
        <f t="shared" si="70"/>
        <v>16.698037801533648</v>
      </c>
      <c r="L688">
        <f t="shared" si="71"/>
        <v>32.49261794517642</v>
      </c>
      <c r="M688">
        <f t="shared" si="72"/>
        <v>1.3819773958782065E-7</v>
      </c>
      <c r="N688">
        <f t="shared" si="73"/>
        <v>0.99999986180226041</v>
      </c>
      <c r="O688">
        <f t="shared" si="74"/>
        <v>0.99999986180226041</v>
      </c>
      <c r="P688">
        <f t="shared" si="75"/>
        <v>-1.3819774913465248E-7</v>
      </c>
    </row>
    <row r="689" spans="1:16" x14ac:dyDescent="0.3">
      <c r="A689" s="2">
        <f t="shared" si="76"/>
        <v>685</v>
      </c>
      <c r="B689" s="2">
        <v>25</v>
      </c>
      <c r="C689" s="2">
        <v>0.4</v>
      </c>
      <c r="D689" s="2">
        <v>20</v>
      </c>
      <c r="E689" s="2">
        <v>1</v>
      </c>
      <c r="F689" s="2">
        <v>90</v>
      </c>
      <c r="G689" s="2">
        <v>0.8</v>
      </c>
      <c r="H689" s="2">
        <v>40</v>
      </c>
      <c r="I689" s="2">
        <v>1</v>
      </c>
      <c r="J689" s="2">
        <v>0</v>
      </c>
      <c r="K689">
        <f t="shared" si="70"/>
        <v>77.778437692453977</v>
      </c>
      <c r="L689">
        <f t="shared" si="71"/>
        <v>37.358014774933686</v>
      </c>
      <c r="M689">
        <f t="shared" si="72"/>
        <v>1</v>
      </c>
      <c r="N689">
        <f t="shared" si="73"/>
        <v>2.790187384196868E-18</v>
      </c>
      <c r="O689">
        <f t="shared" si="74"/>
        <v>1</v>
      </c>
      <c r="P689">
        <f t="shared" si="75"/>
        <v>0</v>
      </c>
    </row>
    <row r="690" spans="1:16" x14ac:dyDescent="0.3">
      <c r="A690" s="2">
        <f t="shared" si="76"/>
        <v>686</v>
      </c>
      <c r="B690" s="2">
        <v>15</v>
      </c>
      <c r="C690" s="2">
        <v>0.6</v>
      </c>
      <c r="D690" s="2">
        <v>20</v>
      </c>
      <c r="E690" s="2">
        <v>1</v>
      </c>
      <c r="F690" s="2">
        <v>90</v>
      </c>
      <c r="G690" s="2">
        <v>0.8</v>
      </c>
      <c r="H690" s="2">
        <v>40</v>
      </c>
      <c r="I690" s="2">
        <v>1</v>
      </c>
      <c r="J690" s="2">
        <v>0</v>
      </c>
      <c r="K690">
        <f t="shared" si="70"/>
        <v>77.778437692453977</v>
      </c>
      <c r="L690">
        <f t="shared" si="71"/>
        <v>31.176773465791396</v>
      </c>
      <c r="M690">
        <f t="shared" si="72"/>
        <v>1</v>
      </c>
      <c r="N690">
        <f t="shared" si="73"/>
        <v>5.7697152326722768E-21</v>
      </c>
      <c r="O690">
        <f t="shared" si="74"/>
        <v>1</v>
      </c>
      <c r="P690">
        <f t="shared" si="75"/>
        <v>0</v>
      </c>
    </row>
    <row r="691" spans="1:16" x14ac:dyDescent="0.3">
      <c r="A691" s="2">
        <f t="shared" si="76"/>
        <v>687</v>
      </c>
      <c r="B691" s="2">
        <v>20</v>
      </c>
      <c r="C691" s="2">
        <v>0.6</v>
      </c>
      <c r="D691" s="2">
        <v>25</v>
      </c>
      <c r="E691" s="2">
        <v>1</v>
      </c>
      <c r="F691" s="2">
        <v>45</v>
      </c>
      <c r="G691" s="2">
        <v>1</v>
      </c>
      <c r="H691" s="2">
        <v>10</v>
      </c>
      <c r="I691" s="2">
        <v>0</v>
      </c>
      <c r="J691" s="2">
        <v>1</v>
      </c>
      <c r="K691">
        <f t="shared" si="70"/>
        <v>10.980159508785752</v>
      </c>
      <c r="L691">
        <f t="shared" si="71"/>
        <v>41.33395102409817</v>
      </c>
      <c r="M691">
        <f t="shared" si="72"/>
        <v>6.5692507612117899E-14</v>
      </c>
      <c r="N691">
        <f t="shared" si="73"/>
        <v>0.99999999999993427</v>
      </c>
      <c r="O691">
        <f t="shared" si="74"/>
        <v>0.99999999999993427</v>
      </c>
      <c r="P691">
        <f t="shared" si="75"/>
        <v>-6.5725203057811426E-14</v>
      </c>
    </row>
    <row r="692" spans="1:16" x14ac:dyDescent="0.3">
      <c r="A692" s="2">
        <f t="shared" si="76"/>
        <v>688</v>
      </c>
      <c r="B692" s="2">
        <v>25</v>
      </c>
      <c r="C692" s="2">
        <v>0.8</v>
      </c>
      <c r="D692" s="2">
        <v>15</v>
      </c>
      <c r="E692" s="2">
        <v>1</v>
      </c>
      <c r="F692" s="2">
        <v>90</v>
      </c>
      <c r="G692" s="2">
        <v>0.8</v>
      </c>
      <c r="H692" s="2">
        <v>40</v>
      </c>
      <c r="I692" s="2">
        <v>1</v>
      </c>
      <c r="J692" s="2">
        <v>0</v>
      </c>
      <c r="K692">
        <f t="shared" si="70"/>
        <v>77.778437692453977</v>
      </c>
      <c r="L692">
        <f t="shared" si="71"/>
        <v>21.417576995267474</v>
      </c>
      <c r="M692">
        <f t="shared" si="72"/>
        <v>1</v>
      </c>
      <c r="N692">
        <f t="shared" si="73"/>
        <v>3.3326461486388342E-25</v>
      </c>
      <c r="O692">
        <f t="shared" si="74"/>
        <v>1</v>
      </c>
      <c r="P692">
        <f t="shared" si="75"/>
        <v>0</v>
      </c>
    </row>
    <row r="693" spans="1:16" x14ac:dyDescent="0.3">
      <c r="A693" s="2">
        <f t="shared" si="76"/>
        <v>689</v>
      </c>
      <c r="B693" s="2">
        <v>15</v>
      </c>
      <c r="C693" s="2">
        <v>0.8</v>
      </c>
      <c r="D693" s="2">
        <v>20</v>
      </c>
      <c r="E693" s="2">
        <v>1</v>
      </c>
      <c r="F693" s="2">
        <v>45</v>
      </c>
      <c r="G693" s="2">
        <v>0.9</v>
      </c>
      <c r="H693" s="2">
        <v>10</v>
      </c>
      <c r="I693" s="2">
        <v>0</v>
      </c>
      <c r="J693" s="2">
        <v>1</v>
      </c>
      <c r="K693">
        <f t="shared" si="70"/>
        <v>12.395583141373463</v>
      </c>
      <c r="L693">
        <f t="shared" si="71"/>
        <v>27.627221115419157</v>
      </c>
      <c r="M693">
        <f t="shared" si="72"/>
        <v>2.4265183065499071E-7</v>
      </c>
      <c r="N693">
        <f t="shared" si="73"/>
        <v>0.99999975734816926</v>
      </c>
      <c r="O693">
        <f t="shared" si="74"/>
        <v>0.99999975734816926</v>
      </c>
      <c r="P693">
        <f t="shared" si="75"/>
        <v>-2.4265186017964213E-7</v>
      </c>
    </row>
    <row r="694" spans="1:16" x14ac:dyDescent="0.3">
      <c r="A694" s="2">
        <f t="shared" si="76"/>
        <v>690</v>
      </c>
      <c r="B694" s="2">
        <v>25</v>
      </c>
      <c r="C694" s="2">
        <v>0.4</v>
      </c>
      <c r="D694" s="2">
        <v>15</v>
      </c>
      <c r="E694" s="2">
        <v>1</v>
      </c>
      <c r="F694" s="2">
        <v>60</v>
      </c>
      <c r="G694" s="2">
        <v>0.9</v>
      </c>
      <c r="H694" s="2">
        <v>40</v>
      </c>
      <c r="I694" s="2">
        <v>1</v>
      </c>
      <c r="J694" s="2">
        <v>0</v>
      </c>
      <c r="K694">
        <f t="shared" si="70"/>
        <v>72.551095198034346</v>
      </c>
      <c r="L694">
        <f t="shared" si="71"/>
        <v>28.51668169601195</v>
      </c>
      <c r="M694">
        <f t="shared" si="72"/>
        <v>1</v>
      </c>
      <c r="N694">
        <f t="shared" si="73"/>
        <v>7.5179113837251579E-20</v>
      </c>
      <c r="O694">
        <f t="shared" si="74"/>
        <v>1</v>
      </c>
      <c r="P694">
        <f t="shared" si="75"/>
        <v>0</v>
      </c>
    </row>
    <row r="695" spans="1:16" x14ac:dyDescent="0.3">
      <c r="A695" s="2">
        <f t="shared" si="76"/>
        <v>691</v>
      </c>
      <c r="B695" s="2">
        <v>25</v>
      </c>
      <c r="C695" s="2">
        <v>0.8</v>
      </c>
      <c r="D695" s="2">
        <v>20</v>
      </c>
      <c r="E695" s="2">
        <v>1</v>
      </c>
      <c r="F695" s="2">
        <v>45</v>
      </c>
      <c r="G695" s="2">
        <v>1</v>
      </c>
      <c r="H695" s="2">
        <v>20</v>
      </c>
      <c r="I695" s="2">
        <v>1</v>
      </c>
      <c r="J695" s="2">
        <v>0</v>
      </c>
      <c r="K695">
        <f t="shared" si="70"/>
        <v>30.396677050700724</v>
      </c>
      <c r="L695">
        <f t="shared" si="71"/>
        <v>30.258910074189213</v>
      </c>
      <c r="M695">
        <f t="shared" si="72"/>
        <v>0.53438737270921821</v>
      </c>
      <c r="N695">
        <f t="shared" si="73"/>
        <v>0.46561262729078179</v>
      </c>
      <c r="O695">
        <f t="shared" si="74"/>
        <v>0.53438737270921821</v>
      </c>
      <c r="P695">
        <f t="shared" si="75"/>
        <v>-0.62663428595125925</v>
      </c>
    </row>
    <row r="696" spans="1:16" x14ac:dyDescent="0.3">
      <c r="A696" s="2">
        <f t="shared" si="76"/>
        <v>692</v>
      </c>
      <c r="B696" s="2">
        <v>20</v>
      </c>
      <c r="C696" s="2">
        <v>0.8</v>
      </c>
      <c r="D696" s="2">
        <v>20</v>
      </c>
      <c r="E696" s="2">
        <v>1</v>
      </c>
      <c r="F696" s="2">
        <v>45</v>
      </c>
      <c r="G696" s="2">
        <v>0.9</v>
      </c>
      <c r="H696" s="2">
        <v>40</v>
      </c>
      <c r="I696" s="2">
        <v>1</v>
      </c>
      <c r="J696" s="2">
        <v>0</v>
      </c>
      <c r="K696">
        <f t="shared" si="70"/>
        <v>70.645135767118376</v>
      </c>
      <c r="L696">
        <f t="shared" si="71"/>
        <v>28.943065594804185</v>
      </c>
      <c r="M696">
        <f t="shared" si="72"/>
        <v>1</v>
      </c>
      <c r="N696">
        <f t="shared" si="73"/>
        <v>7.7449931898542787E-19</v>
      </c>
      <c r="O696">
        <f t="shared" si="74"/>
        <v>1</v>
      </c>
      <c r="P696">
        <f t="shared" si="75"/>
        <v>0</v>
      </c>
    </row>
    <row r="697" spans="1:16" x14ac:dyDescent="0.3">
      <c r="A697" s="2">
        <f t="shared" si="76"/>
        <v>693</v>
      </c>
      <c r="B697" s="2">
        <v>15</v>
      </c>
      <c r="C697" s="2">
        <v>0.8</v>
      </c>
      <c r="D697" s="2">
        <v>15</v>
      </c>
      <c r="E697" s="2">
        <v>1</v>
      </c>
      <c r="F697" s="2">
        <v>90</v>
      </c>
      <c r="G697" s="2">
        <v>0.8</v>
      </c>
      <c r="H697" s="2">
        <v>10</v>
      </c>
      <c r="I697" s="2">
        <v>1</v>
      </c>
      <c r="J697" s="2">
        <v>0</v>
      </c>
      <c r="K697">
        <f t="shared" si="70"/>
        <v>19.528885066709069</v>
      </c>
      <c r="L697">
        <f t="shared" si="71"/>
        <v>18.785888036497418</v>
      </c>
      <c r="M697">
        <f t="shared" si="72"/>
        <v>0.67765087627471732</v>
      </c>
      <c r="N697">
        <f t="shared" si="73"/>
        <v>0.32234912372528263</v>
      </c>
      <c r="O697">
        <f t="shared" si="74"/>
        <v>0.67765087627471732</v>
      </c>
      <c r="P697">
        <f t="shared" si="75"/>
        <v>-0.38912305541282843</v>
      </c>
    </row>
    <row r="698" spans="1:16" x14ac:dyDescent="0.3">
      <c r="A698" s="2">
        <f t="shared" si="76"/>
        <v>694</v>
      </c>
      <c r="B698" s="2">
        <v>20</v>
      </c>
      <c r="C698" s="2">
        <v>0.6</v>
      </c>
      <c r="D698" s="2">
        <v>15</v>
      </c>
      <c r="E698" s="2">
        <v>1</v>
      </c>
      <c r="F698" s="2">
        <v>90</v>
      </c>
      <c r="G698" s="2">
        <v>0.9</v>
      </c>
      <c r="H698" s="2">
        <v>20</v>
      </c>
      <c r="I698" s="2">
        <v>1</v>
      </c>
      <c r="J698" s="2">
        <v>0</v>
      </c>
      <c r="K698">
        <f t="shared" si="70"/>
        <v>37.529978976036332</v>
      </c>
      <c r="L698">
        <f t="shared" si="71"/>
        <v>23.651284866254684</v>
      </c>
      <c r="M698">
        <f t="shared" si="72"/>
        <v>0.99999906122973647</v>
      </c>
      <c r="N698">
        <f t="shared" si="73"/>
        <v>9.3877026343382236E-7</v>
      </c>
      <c r="O698">
        <f t="shared" si="74"/>
        <v>0.99999906122973647</v>
      </c>
      <c r="P698">
        <f t="shared" si="75"/>
        <v>-9.3877070417059206E-7</v>
      </c>
    </row>
    <row r="699" spans="1:16" x14ac:dyDescent="0.3">
      <c r="A699" s="2">
        <f t="shared" si="76"/>
        <v>695</v>
      </c>
      <c r="B699" s="2">
        <v>25</v>
      </c>
      <c r="C699" s="2">
        <v>0.4</v>
      </c>
      <c r="D699" s="2">
        <v>25</v>
      </c>
      <c r="E699" s="2">
        <v>1</v>
      </c>
      <c r="F699" s="2">
        <v>45</v>
      </c>
      <c r="G699" s="2">
        <v>0.8</v>
      </c>
      <c r="H699" s="2">
        <v>10</v>
      </c>
      <c r="I699" s="2">
        <v>0</v>
      </c>
      <c r="J699" s="2">
        <v>1</v>
      </c>
      <c r="K699">
        <f t="shared" si="70"/>
        <v>13.811006773961173</v>
      </c>
      <c r="L699">
        <f t="shared" si="71"/>
        <v>46.199347853855429</v>
      </c>
      <c r="M699">
        <f t="shared" si="72"/>
        <v>8.5885963284818228E-15</v>
      </c>
      <c r="N699">
        <f t="shared" si="73"/>
        <v>0.99999999999999134</v>
      </c>
      <c r="O699">
        <f t="shared" si="74"/>
        <v>0.99999999999999134</v>
      </c>
      <c r="P699">
        <f t="shared" si="75"/>
        <v>-8.6597395920762589E-15</v>
      </c>
    </row>
    <row r="700" spans="1:16" x14ac:dyDescent="0.3">
      <c r="A700" s="2">
        <f t="shared" si="76"/>
        <v>696</v>
      </c>
      <c r="B700" s="2">
        <v>25</v>
      </c>
      <c r="C700" s="2">
        <v>0.8</v>
      </c>
      <c r="D700" s="2">
        <v>15</v>
      </c>
      <c r="E700" s="2">
        <v>1</v>
      </c>
      <c r="F700" s="2">
        <v>60</v>
      </c>
      <c r="G700" s="2">
        <v>0.8</v>
      </c>
      <c r="H700" s="2">
        <v>20</v>
      </c>
      <c r="I700" s="2">
        <v>1</v>
      </c>
      <c r="J700" s="2">
        <v>0</v>
      </c>
      <c r="K700">
        <f t="shared" si="70"/>
        <v>35.133483746792109</v>
      </c>
      <c r="L700">
        <f t="shared" si="71"/>
        <v>21.417576995267474</v>
      </c>
      <c r="M700">
        <f t="shared" si="72"/>
        <v>0.99999889526807717</v>
      </c>
      <c r="N700">
        <f t="shared" si="73"/>
        <v>1.1047319227683577E-6</v>
      </c>
      <c r="O700">
        <f t="shared" si="74"/>
        <v>0.99999889526807717</v>
      </c>
      <c r="P700">
        <f t="shared" si="75"/>
        <v>-1.1047325330464315E-6</v>
      </c>
    </row>
    <row r="701" spans="1:16" x14ac:dyDescent="0.3">
      <c r="A701" s="2">
        <f t="shared" si="76"/>
        <v>697</v>
      </c>
      <c r="B701" s="2">
        <v>15</v>
      </c>
      <c r="C701" s="2">
        <v>0.6</v>
      </c>
      <c r="D701" s="2">
        <v>25</v>
      </c>
      <c r="E701" s="2">
        <v>1</v>
      </c>
      <c r="F701" s="2">
        <v>60</v>
      </c>
      <c r="G701" s="2">
        <v>0.8</v>
      </c>
      <c r="H701" s="2">
        <v>10</v>
      </c>
      <c r="I701" s="2">
        <v>0</v>
      </c>
      <c r="J701" s="2">
        <v>1</v>
      </c>
      <c r="K701">
        <f t="shared" si="70"/>
        <v>15.716966204877139</v>
      </c>
      <c r="L701">
        <f t="shared" si="71"/>
        <v>40.018106544713142</v>
      </c>
      <c r="M701">
        <f t="shared" si="72"/>
        <v>2.7935010982745127E-11</v>
      </c>
      <c r="N701">
        <f t="shared" si="73"/>
        <v>0.9999999999720649</v>
      </c>
      <c r="O701">
        <f t="shared" si="74"/>
        <v>0.9999999999720649</v>
      </c>
      <c r="P701">
        <f t="shared" si="75"/>
        <v>-2.7935098679100985E-11</v>
      </c>
    </row>
    <row r="702" spans="1:16" x14ac:dyDescent="0.3">
      <c r="A702" s="2">
        <f t="shared" si="76"/>
        <v>698</v>
      </c>
      <c r="B702" s="2">
        <v>15</v>
      </c>
      <c r="C702" s="2">
        <v>0.8</v>
      </c>
      <c r="D702" s="2">
        <v>20</v>
      </c>
      <c r="E702" s="2">
        <v>1</v>
      </c>
      <c r="F702" s="2">
        <v>90</v>
      </c>
      <c r="G702" s="2">
        <v>0.9</v>
      </c>
      <c r="H702" s="2">
        <v>10</v>
      </c>
      <c r="I702" s="2">
        <v>0</v>
      </c>
      <c r="J702" s="2">
        <v>1</v>
      </c>
      <c r="K702">
        <f t="shared" si="70"/>
        <v>18.113461434121358</v>
      </c>
      <c r="L702">
        <f t="shared" si="71"/>
        <v>27.627221115419157</v>
      </c>
      <c r="M702">
        <f t="shared" si="72"/>
        <v>7.3823495669698375E-5</v>
      </c>
      <c r="N702">
        <f t="shared" si="73"/>
        <v>0.99992617650433024</v>
      </c>
      <c r="O702">
        <f t="shared" si="74"/>
        <v>0.99992617650433024</v>
      </c>
      <c r="P702">
        <f t="shared" si="75"/>
        <v>-7.3826220758130195E-5</v>
      </c>
    </row>
    <row r="703" spans="1:16" x14ac:dyDescent="0.3">
      <c r="A703" s="2">
        <f t="shared" si="76"/>
        <v>699</v>
      </c>
      <c r="B703" s="2">
        <v>15</v>
      </c>
      <c r="C703" s="2">
        <v>0.6</v>
      </c>
      <c r="D703" s="2">
        <v>25</v>
      </c>
      <c r="E703" s="2">
        <v>1</v>
      </c>
      <c r="F703" s="2">
        <v>90</v>
      </c>
      <c r="G703" s="2">
        <v>0.9</v>
      </c>
      <c r="H703" s="2">
        <v>40</v>
      </c>
      <c r="I703" s="2">
        <v>1</v>
      </c>
      <c r="J703" s="2">
        <v>0</v>
      </c>
      <c r="K703">
        <f t="shared" si="70"/>
        <v>76.363014059866273</v>
      </c>
      <c r="L703">
        <f t="shared" si="71"/>
        <v>40.018106544713142</v>
      </c>
      <c r="M703">
        <f t="shared" si="72"/>
        <v>0.99999999999999978</v>
      </c>
      <c r="N703">
        <f t="shared" si="73"/>
        <v>1.6428852136731917E-16</v>
      </c>
      <c r="O703">
        <f t="shared" si="74"/>
        <v>0.99999999999999978</v>
      </c>
      <c r="P703">
        <f t="shared" si="75"/>
        <v>-2.2204460492503131E-16</v>
      </c>
    </row>
    <row r="704" spans="1:16" x14ac:dyDescent="0.3">
      <c r="A704" s="2">
        <f t="shared" si="76"/>
        <v>700</v>
      </c>
      <c r="B704" s="2">
        <v>25</v>
      </c>
      <c r="C704" s="2">
        <v>0.8</v>
      </c>
      <c r="D704" s="2">
        <v>20</v>
      </c>
      <c r="E704" s="2">
        <v>1</v>
      </c>
      <c r="F704" s="2">
        <v>60</v>
      </c>
      <c r="G704" s="2">
        <v>0.8</v>
      </c>
      <c r="H704" s="2">
        <v>10</v>
      </c>
      <c r="I704" s="2">
        <v>0</v>
      </c>
      <c r="J704" s="2">
        <v>1</v>
      </c>
      <c r="K704">
        <f t="shared" si="70"/>
        <v>15.716966204877139</v>
      </c>
      <c r="L704">
        <f t="shared" si="71"/>
        <v>30.258910074189213</v>
      </c>
      <c r="M704">
        <f t="shared" si="72"/>
        <v>4.8363064441204204E-7</v>
      </c>
      <c r="N704">
        <f t="shared" si="73"/>
        <v>0.99999951636935558</v>
      </c>
      <c r="O704">
        <f t="shared" si="74"/>
        <v>0.99999951636935558</v>
      </c>
      <c r="P704">
        <f t="shared" si="75"/>
        <v>-4.8363076137047803E-7</v>
      </c>
    </row>
    <row r="705" spans="1:16" x14ac:dyDescent="0.3">
      <c r="A705" s="2">
        <f t="shared" si="76"/>
        <v>701</v>
      </c>
      <c r="B705" s="2">
        <v>25</v>
      </c>
      <c r="C705" s="2">
        <v>0.4</v>
      </c>
      <c r="D705" s="2">
        <v>20</v>
      </c>
      <c r="E705" s="2">
        <v>1</v>
      </c>
      <c r="F705" s="2">
        <v>60</v>
      </c>
      <c r="G705" s="2">
        <v>0.8</v>
      </c>
      <c r="H705" s="2">
        <v>10</v>
      </c>
      <c r="I705" s="2">
        <v>0</v>
      </c>
      <c r="J705" s="2">
        <v>1</v>
      </c>
      <c r="K705">
        <f t="shared" si="70"/>
        <v>15.716966204877139</v>
      </c>
      <c r="L705">
        <f t="shared" si="71"/>
        <v>37.358014774933686</v>
      </c>
      <c r="M705">
        <f t="shared" si="72"/>
        <v>3.9940364433828481E-10</v>
      </c>
      <c r="N705">
        <f t="shared" si="73"/>
        <v>0.99999999960059638</v>
      </c>
      <c r="O705">
        <f t="shared" si="74"/>
        <v>0.99999999960059638</v>
      </c>
      <c r="P705">
        <f t="shared" si="75"/>
        <v>-3.9940362136708138E-10</v>
      </c>
    </row>
    <row r="706" spans="1:16" x14ac:dyDescent="0.3">
      <c r="A706" s="2">
        <f t="shared" si="76"/>
        <v>702</v>
      </c>
      <c r="B706" s="2">
        <v>20</v>
      </c>
      <c r="C706" s="2">
        <v>0.8</v>
      </c>
      <c r="D706" s="2">
        <v>15</v>
      </c>
      <c r="E706" s="2">
        <v>1</v>
      </c>
      <c r="F706" s="2">
        <v>45</v>
      </c>
      <c r="G706" s="2">
        <v>0.9</v>
      </c>
      <c r="H706" s="2">
        <v>40</v>
      </c>
      <c r="I706" s="2">
        <v>1</v>
      </c>
      <c r="J706" s="2">
        <v>0</v>
      </c>
      <c r="K706">
        <f t="shared" si="70"/>
        <v>70.645135767118376</v>
      </c>
      <c r="L706">
        <f t="shared" si="71"/>
        <v>20.101732515882446</v>
      </c>
      <c r="M706">
        <f t="shared" si="72"/>
        <v>1</v>
      </c>
      <c r="N706">
        <f t="shared" si="73"/>
        <v>1.1201569334388634E-22</v>
      </c>
      <c r="O706">
        <f t="shared" si="74"/>
        <v>1</v>
      </c>
      <c r="P706">
        <f t="shared" si="75"/>
        <v>0</v>
      </c>
    </row>
    <row r="707" spans="1:16" x14ac:dyDescent="0.3">
      <c r="A707" s="2">
        <f t="shared" si="76"/>
        <v>703</v>
      </c>
      <c r="B707" s="2">
        <v>20</v>
      </c>
      <c r="C707" s="2">
        <v>0.6</v>
      </c>
      <c r="D707" s="2">
        <v>20</v>
      </c>
      <c r="E707" s="2">
        <v>1</v>
      </c>
      <c r="F707" s="2">
        <v>90</v>
      </c>
      <c r="G707" s="2">
        <v>0.8</v>
      </c>
      <c r="H707" s="2">
        <v>10</v>
      </c>
      <c r="I707" s="2">
        <v>0</v>
      </c>
      <c r="J707" s="2">
        <v>1</v>
      </c>
      <c r="K707">
        <f t="shared" si="70"/>
        <v>19.528885066709069</v>
      </c>
      <c r="L707">
        <f t="shared" si="71"/>
        <v>32.49261794517642</v>
      </c>
      <c r="M707">
        <f t="shared" si="72"/>
        <v>2.3438041997361957E-6</v>
      </c>
      <c r="N707">
        <f t="shared" si="73"/>
        <v>0.99999765619580028</v>
      </c>
      <c r="O707">
        <f t="shared" si="74"/>
        <v>0.99999765619580028</v>
      </c>
      <c r="P707">
        <f t="shared" si="75"/>
        <v>-2.3438069464359318E-6</v>
      </c>
    </row>
    <row r="708" spans="1:16" x14ac:dyDescent="0.3">
      <c r="A708" s="2">
        <f t="shared" si="76"/>
        <v>704</v>
      </c>
      <c r="B708" s="2">
        <v>25</v>
      </c>
      <c r="C708" s="2">
        <v>0.4</v>
      </c>
      <c r="D708" s="2">
        <v>25</v>
      </c>
      <c r="E708" s="2">
        <v>1</v>
      </c>
      <c r="F708" s="2">
        <v>60</v>
      </c>
      <c r="G708" s="2">
        <v>1</v>
      </c>
      <c r="H708" s="2">
        <v>10</v>
      </c>
      <c r="I708" s="2">
        <v>0</v>
      </c>
      <c r="J708" s="2">
        <v>1</v>
      </c>
      <c r="K708">
        <f t="shared" si="70"/>
        <v>12.886118939701717</v>
      </c>
      <c r="L708">
        <f t="shared" si="71"/>
        <v>46.199347853855429</v>
      </c>
      <c r="M708">
        <f t="shared" si="72"/>
        <v>3.40603030848196E-15</v>
      </c>
      <c r="N708">
        <f t="shared" si="73"/>
        <v>0.99999999999999656</v>
      </c>
      <c r="O708">
        <f t="shared" si="74"/>
        <v>0.99999999999999656</v>
      </c>
      <c r="P708">
        <f t="shared" si="75"/>
        <v>-3.4416913763379912E-15</v>
      </c>
    </row>
    <row r="709" spans="1:16" x14ac:dyDescent="0.3">
      <c r="A709" s="2">
        <f t="shared" si="76"/>
        <v>705</v>
      </c>
      <c r="B709" s="2">
        <v>15</v>
      </c>
      <c r="C709" s="2">
        <v>0.4</v>
      </c>
      <c r="D709" s="2">
        <v>20</v>
      </c>
      <c r="E709" s="2">
        <v>1</v>
      </c>
      <c r="F709" s="2">
        <v>60</v>
      </c>
      <c r="G709" s="2">
        <v>0.9</v>
      </c>
      <c r="H709" s="2">
        <v>20</v>
      </c>
      <c r="I709" s="2">
        <v>0</v>
      </c>
      <c r="J709" s="2">
        <v>1</v>
      </c>
      <c r="K709">
        <f t="shared" si="70"/>
        <v>33.718060114204398</v>
      </c>
      <c r="L709">
        <f t="shared" si="71"/>
        <v>34.72632581616363</v>
      </c>
      <c r="M709">
        <f t="shared" si="72"/>
        <v>0.26731939281282213</v>
      </c>
      <c r="N709">
        <f t="shared" si="73"/>
        <v>0.73268060718717776</v>
      </c>
      <c r="O709">
        <f t="shared" si="74"/>
        <v>0.73268060718717776</v>
      </c>
      <c r="P709">
        <f t="shared" si="75"/>
        <v>-0.31104540576963419</v>
      </c>
    </row>
    <row r="710" spans="1:16" x14ac:dyDescent="0.3">
      <c r="A710" s="2">
        <f t="shared" si="76"/>
        <v>706</v>
      </c>
      <c r="B710" s="2">
        <v>25</v>
      </c>
      <c r="C710" s="2">
        <v>0.8</v>
      </c>
      <c r="D710" s="2">
        <v>20</v>
      </c>
      <c r="E710" s="2">
        <v>1</v>
      </c>
      <c r="F710" s="2">
        <v>60</v>
      </c>
      <c r="G710" s="2">
        <v>1</v>
      </c>
      <c r="H710" s="2">
        <v>40</v>
      </c>
      <c r="I710" s="2">
        <v>1</v>
      </c>
      <c r="J710" s="2">
        <v>0</v>
      </c>
      <c r="K710">
        <f t="shared" ref="K710:K773" si="77">$F$3*F710+$G$3*G710+$H$3*H710</f>
        <v>71.135671565446629</v>
      </c>
      <c r="L710">
        <f t="shared" ref="L710:L773" si="78">$B$3*B710+$C$3*C710+$D$3*D710+$E$3*E710</f>
        <v>30.258910074189213</v>
      </c>
      <c r="M710">
        <f t="shared" ref="M710:M773" si="79">EXP(K710)/(EXP(K710)+EXP(L710))</f>
        <v>1</v>
      </c>
      <c r="N710">
        <f t="shared" ref="N710:N773" si="80">EXP(L710)/(EXP(L710)+EXP(K710))</f>
        <v>1.7678607196529161E-18</v>
      </c>
      <c r="O710">
        <f t="shared" ref="O710:O773" si="81">I710*M710+J710*N710</f>
        <v>1</v>
      </c>
      <c r="P710">
        <f t="shared" ref="P710:P773" si="82">LN(O710)</f>
        <v>0</v>
      </c>
    </row>
    <row r="711" spans="1:16" x14ac:dyDescent="0.3">
      <c r="A711" s="2">
        <f t="shared" ref="A711:A774" si="83">A710+1</f>
        <v>707</v>
      </c>
      <c r="B711" s="2">
        <v>15</v>
      </c>
      <c r="C711" s="2">
        <v>0.8</v>
      </c>
      <c r="D711" s="2">
        <v>15</v>
      </c>
      <c r="E711" s="2">
        <v>1</v>
      </c>
      <c r="F711" s="2">
        <v>45</v>
      </c>
      <c r="G711" s="2">
        <v>0.9</v>
      </c>
      <c r="H711" s="2">
        <v>20</v>
      </c>
      <c r="I711" s="2">
        <v>1</v>
      </c>
      <c r="J711" s="2">
        <v>0</v>
      </c>
      <c r="K711">
        <f t="shared" si="77"/>
        <v>31.812100683288435</v>
      </c>
      <c r="L711">
        <f t="shared" si="78"/>
        <v>18.785888036497418</v>
      </c>
      <c r="M711">
        <f t="shared" si="79"/>
        <v>0.9999977981548589</v>
      </c>
      <c r="N711">
        <f t="shared" si="80"/>
        <v>2.2018451410430996E-6</v>
      </c>
      <c r="O711">
        <f t="shared" si="81"/>
        <v>0.9999977981548589</v>
      </c>
      <c r="P711">
        <f t="shared" si="82"/>
        <v>-2.2018475651677912E-6</v>
      </c>
    </row>
    <row r="712" spans="1:16" x14ac:dyDescent="0.3">
      <c r="A712" s="2">
        <f t="shared" si="83"/>
        <v>708</v>
      </c>
      <c r="B712" s="2">
        <v>20</v>
      </c>
      <c r="C712" s="2">
        <v>0.6</v>
      </c>
      <c r="D712" s="2">
        <v>20</v>
      </c>
      <c r="E712" s="2">
        <v>1</v>
      </c>
      <c r="F712" s="2">
        <v>45</v>
      </c>
      <c r="G712" s="2">
        <v>0.9</v>
      </c>
      <c r="H712" s="2">
        <v>10</v>
      </c>
      <c r="I712" s="2">
        <v>0</v>
      </c>
      <c r="J712" s="2">
        <v>1</v>
      </c>
      <c r="K712">
        <f t="shared" si="77"/>
        <v>12.395583141373463</v>
      </c>
      <c r="L712">
        <f t="shared" si="78"/>
        <v>32.49261794517642</v>
      </c>
      <c r="M712">
        <f t="shared" si="79"/>
        <v>1.8705472428178201E-9</v>
      </c>
      <c r="N712">
        <f t="shared" si="80"/>
        <v>0.99999999812945273</v>
      </c>
      <c r="O712">
        <f t="shared" si="81"/>
        <v>0.99999999812945273</v>
      </c>
      <c r="P712">
        <f t="shared" si="82"/>
        <v>-1.8705472743805024E-9</v>
      </c>
    </row>
    <row r="713" spans="1:16" x14ac:dyDescent="0.3">
      <c r="A713" s="2">
        <f t="shared" si="83"/>
        <v>709</v>
      </c>
      <c r="B713" s="2">
        <v>15</v>
      </c>
      <c r="C713" s="2">
        <v>0.8</v>
      </c>
      <c r="D713" s="2">
        <v>20</v>
      </c>
      <c r="E713" s="2">
        <v>1</v>
      </c>
      <c r="F713" s="2">
        <v>60</v>
      </c>
      <c r="G713" s="2">
        <v>1</v>
      </c>
      <c r="H713" s="2">
        <v>10</v>
      </c>
      <c r="I713" s="2">
        <v>0</v>
      </c>
      <c r="J713" s="2">
        <v>1</v>
      </c>
      <c r="K713">
        <f t="shared" si="77"/>
        <v>12.886118939701717</v>
      </c>
      <c r="L713">
        <f t="shared" si="78"/>
        <v>27.627221115419157</v>
      </c>
      <c r="M713">
        <f t="shared" si="79"/>
        <v>3.9629673637822275E-7</v>
      </c>
      <c r="N713">
        <f t="shared" si="80"/>
        <v>0.99999960370326368</v>
      </c>
      <c r="O713">
        <f t="shared" si="81"/>
        <v>0.99999960370326368</v>
      </c>
      <c r="P713">
        <f t="shared" si="82"/>
        <v>-3.9629681484137668E-7</v>
      </c>
    </row>
    <row r="714" spans="1:16" x14ac:dyDescent="0.3">
      <c r="A714" s="2">
        <f t="shared" si="83"/>
        <v>710</v>
      </c>
      <c r="B714" s="2">
        <v>25</v>
      </c>
      <c r="C714" s="2">
        <v>0.8</v>
      </c>
      <c r="D714" s="2">
        <v>15</v>
      </c>
      <c r="E714" s="2">
        <v>1</v>
      </c>
      <c r="F714" s="2">
        <v>60</v>
      </c>
      <c r="G714" s="2">
        <v>1</v>
      </c>
      <c r="H714" s="2">
        <v>20</v>
      </c>
      <c r="I714" s="2">
        <v>1</v>
      </c>
      <c r="J714" s="2">
        <v>0</v>
      </c>
      <c r="K714">
        <f t="shared" si="77"/>
        <v>32.302636481616688</v>
      </c>
      <c r="L714">
        <f t="shared" si="78"/>
        <v>21.417576995267474</v>
      </c>
      <c r="M714">
        <f t="shared" si="79"/>
        <v>0.99998126427112943</v>
      </c>
      <c r="N714">
        <f t="shared" si="80"/>
        <v>1.8735728870594921E-5</v>
      </c>
      <c r="O714">
        <f t="shared" si="81"/>
        <v>0.99998126427112943</v>
      </c>
      <c r="P714">
        <f t="shared" si="82"/>
        <v>-1.8735904386527398E-5</v>
      </c>
    </row>
    <row r="715" spans="1:16" x14ac:dyDescent="0.3">
      <c r="A715" s="2">
        <f t="shared" si="83"/>
        <v>711</v>
      </c>
      <c r="B715" s="2">
        <v>25</v>
      </c>
      <c r="C715" s="2">
        <v>0.4</v>
      </c>
      <c r="D715" s="2">
        <v>25</v>
      </c>
      <c r="E715" s="2">
        <v>1</v>
      </c>
      <c r="F715" s="2">
        <v>60</v>
      </c>
      <c r="G715" s="2">
        <v>0.8</v>
      </c>
      <c r="H715" s="2">
        <v>40</v>
      </c>
      <c r="I715" s="2">
        <v>1</v>
      </c>
      <c r="J715" s="2">
        <v>0</v>
      </c>
      <c r="K715">
        <f t="shared" si="77"/>
        <v>73.96651883062205</v>
      </c>
      <c r="L715">
        <f t="shared" si="78"/>
        <v>46.199347853855429</v>
      </c>
      <c r="M715">
        <f t="shared" si="79"/>
        <v>0.99999999999912736</v>
      </c>
      <c r="N715">
        <f t="shared" si="80"/>
        <v>8.727118373603254E-13</v>
      </c>
      <c r="O715">
        <f t="shared" si="81"/>
        <v>0.99999999999912736</v>
      </c>
      <c r="P715">
        <f t="shared" si="82"/>
        <v>-8.7263529735575381E-13</v>
      </c>
    </row>
    <row r="716" spans="1:16" x14ac:dyDescent="0.3">
      <c r="A716" s="2">
        <f t="shared" si="83"/>
        <v>712</v>
      </c>
      <c r="B716" s="2">
        <v>20</v>
      </c>
      <c r="C716" s="2">
        <v>0.8</v>
      </c>
      <c r="D716" s="2">
        <v>20</v>
      </c>
      <c r="E716" s="2">
        <v>1</v>
      </c>
      <c r="F716" s="2">
        <v>60</v>
      </c>
      <c r="G716" s="2">
        <v>1</v>
      </c>
      <c r="H716" s="2">
        <v>40</v>
      </c>
      <c r="I716" s="2">
        <v>1</v>
      </c>
      <c r="J716" s="2">
        <v>0</v>
      </c>
      <c r="K716">
        <f t="shared" si="77"/>
        <v>71.135671565446629</v>
      </c>
      <c r="L716">
        <f t="shared" si="78"/>
        <v>28.943065594804185</v>
      </c>
      <c r="M716">
        <f t="shared" si="79"/>
        <v>1</v>
      </c>
      <c r="N716">
        <f t="shared" si="80"/>
        <v>4.7422456827511279E-19</v>
      </c>
      <c r="O716">
        <f t="shared" si="81"/>
        <v>1</v>
      </c>
      <c r="P716">
        <f t="shared" si="82"/>
        <v>0</v>
      </c>
    </row>
    <row r="717" spans="1:16" x14ac:dyDescent="0.3">
      <c r="A717" s="2">
        <f t="shared" si="83"/>
        <v>713</v>
      </c>
      <c r="B717" s="2">
        <v>20</v>
      </c>
      <c r="C717" s="2">
        <v>0.4</v>
      </c>
      <c r="D717" s="2">
        <v>15</v>
      </c>
      <c r="E717" s="2">
        <v>1</v>
      </c>
      <c r="F717" s="2">
        <v>60</v>
      </c>
      <c r="G717" s="2">
        <v>0.9</v>
      </c>
      <c r="H717" s="2">
        <v>40</v>
      </c>
      <c r="I717" s="2">
        <v>1</v>
      </c>
      <c r="J717" s="2">
        <v>0</v>
      </c>
      <c r="K717">
        <f t="shared" si="77"/>
        <v>72.551095198034346</v>
      </c>
      <c r="L717">
        <f t="shared" si="78"/>
        <v>27.200837216626923</v>
      </c>
      <c r="M717">
        <f t="shared" si="79"/>
        <v>1</v>
      </c>
      <c r="N717">
        <f t="shared" si="80"/>
        <v>2.0166624217871472E-20</v>
      </c>
      <c r="O717">
        <f t="shared" si="81"/>
        <v>1</v>
      </c>
      <c r="P717">
        <f t="shared" si="82"/>
        <v>0</v>
      </c>
    </row>
    <row r="718" spans="1:16" x14ac:dyDescent="0.3">
      <c r="A718" s="2">
        <f t="shared" si="83"/>
        <v>714</v>
      </c>
      <c r="B718" s="2">
        <v>20</v>
      </c>
      <c r="C718" s="2">
        <v>0.4</v>
      </c>
      <c r="D718" s="2">
        <v>25</v>
      </c>
      <c r="E718" s="2">
        <v>1</v>
      </c>
      <c r="F718" s="2">
        <v>90</v>
      </c>
      <c r="G718" s="2">
        <v>0.8</v>
      </c>
      <c r="H718" s="2">
        <v>10</v>
      </c>
      <c r="I718" s="2">
        <v>0</v>
      </c>
      <c r="J718" s="2">
        <v>1</v>
      </c>
      <c r="K718">
        <f t="shared" si="77"/>
        <v>19.528885066709069</v>
      </c>
      <c r="L718">
        <f t="shared" si="78"/>
        <v>44.883503374470401</v>
      </c>
      <c r="M718">
        <f t="shared" si="79"/>
        <v>9.7415749928267864E-12</v>
      </c>
      <c r="N718">
        <f t="shared" si="80"/>
        <v>0.99999999999025846</v>
      </c>
      <c r="O718">
        <f t="shared" si="81"/>
        <v>0.99999999999025846</v>
      </c>
      <c r="P718">
        <f t="shared" si="82"/>
        <v>-9.7415409073184217E-12</v>
      </c>
    </row>
    <row r="719" spans="1:16" x14ac:dyDescent="0.3">
      <c r="A719" s="2">
        <f t="shared" si="83"/>
        <v>715</v>
      </c>
      <c r="B719" s="2">
        <v>15</v>
      </c>
      <c r="C719" s="2">
        <v>0.6</v>
      </c>
      <c r="D719" s="2">
        <v>15</v>
      </c>
      <c r="E719" s="2">
        <v>1</v>
      </c>
      <c r="F719" s="2">
        <v>45</v>
      </c>
      <c r="G719" s="2">
        <v>0.8</v>
      </c>
      <c r="H719" s="2">
        <v>40</v>
      </c>
      <c r="I719" s="2">
        <v>1</v>
      </c>
      <c r="J719" s="2">
        <v>0</v>
      </c>
      <c r="K719">
        <f t="shared" si="77"/>
        <v>72.060559399706079</v>
      </c>
      <c r="L719">
        <f t="shared" si="78"/>
        <v>22.335440386869656</v>
      </c>
      <c r="M719">
        <f t="shared" si="79"/>
        <v>1</v>
      </c>
      <c r="N719">
        <f t="shared" si="80"/>
        <v>2.5389561526358101E-22</v>
      </c>
      <c r="O719">
        <f t="shared" si="81"/>
        <v>1</v>
      </c>
      <c r="P719">
        <f t="shared" si="82"/>
        <v>0</v>
      </c>
    </row>
    <row r="720" spans="1:16" x14ac:dyDescent="0.3">
      <c r="A720" s="2">
        <f t="shared" si="83"/>
        <v>716</v>
      </c>
      <c r="B720" s="2">
        <v>25</v>
      </c>
      <c r="C720" s="2">
        <v>0.8</v>
      </c>
      <c r="D720" s="2">
        <v>15</v>
      </c>
      <c r="E720" s="2">
        <v>1</v>
      </c>
      <c r="F720" s="2">
        <v>45</v>
      </c>
      <c r="G720" s="2">
        <v>0.9</v>
      </c>
      <c r="H720" s="2">
        <v>10</v>
      </c>
      <c r="I720" s="2">
        <v>0</v>
      </c>
      <c r="J720" s="2">
        <v>1</v>
      </c>
      <c r="K720">
        <f t="shared" si="77"/>
        <v>12.395583141373463</v>
      </c>
      <c r="L720">
        <f t="shared" si="78"/>
        <v>21.417576995267474</v>
      </c>
      <c r="M720">
        <f t="shared" si="79"/>
        <v>1.2071060493559836E-4</v>
      </c>
      <c r="N720">
        <f t="shared" si="80"/>
        <v>0.99987928939506443</v>
      </c>
      <c r="O720">
        <f t="shared" si="81"/>
        <v>0.99987928939506443</v>
      </c>
      <c r="P720">
        <f t="shared" si="82"/>
        <v>-1.2071789104698842E-4</v>
      </c>
    </row>
    <row r="721" spans="1:16" x14ac:dyDescent="0.3">
      <c r="A721" s="2">
        <f t="shared" si="83"/>
        <v>717</v>
      </c>
      <c r="B721" s="2">
        <v>25</v>
      </c>
      <c r="C721" s="2">
        <v>0.8</v>
      </c>
      <c r="D721" s="2">
        <v>20</v>
      </c>
      <c r="E721" s="2">
        <v>1</v>
      </c>
      <c r="F721" s="2">
        <v>60</v>
      </c>
      <c r="G721" s="2">
        <v>0.8</v>
      </c>
      <c r="H721" s="2">
        <v>10</v>
      </c>
      <c r="I721" s="2">
        <v>0</v>
      </c>
      <c r="J721" s="2">
        <v>1</v>
      </c>
      <c r="K721">
        <f t="shared" si="77"/>
        <v>15.716966204877139</v>
      </c>
      <c r="L721">
        <f t="shared" si="78"/>
        <v>30.258910074189213</v>
      </c>
      <c r="M721">
        <f t="shared" si="79"/>
        <v>4.8363064441204204E-7</v>
      </c>
      <c r="N721">
        <f t="shared" si="80"/>
        <v>0.99999951636935558</v>
      </c>
      <c r="O721">
        <f t="shared" si="81"/>
        <v>0.99999951636935558</v>
      </c>
      <c r="P721">
        <f t="shared" si="82"/>
        <v>-4.8363076137047803E-7</v>
      </c>
    </row>
    <row r="722" spans="1:16" x14ac:dyDescent="0.3">
      <c r="A722" s="2">
        <f t="shared" si="83"/>
        <v>718</v>
      </c>
      <c r="B722" s="2">
        <v>15</v>
      </c>
      <c r="C722" s="2">
        <v>0.6</v>
      </c>
      <c r="D722" s="2">
        <v>25</v>
      </c>
      <c r="E722" s="2">
        <v>1</v>
      </c>
      <c r="F722" s="2">
        <v>45</v>
      </c>
      <c r="G722" s="2">
        <v>0.9</v>
      </c>
      <c r="H722" s="2">
        <v>40</v>
      </c>
      <c r="I722" s="2">
        <v>1</v>
      </c>
      <c r="J722" s="2">
        <v>0</v>
      </c>
      <c r="K722">
        <f t="shared" si="77"/>
        <v>70.645135767118376</v>
      </c>
      <c r="L722">
        <f t="shared" si="78"/>
        <v>40.018106544713142</v>
      </c>
      <c r="M722">
        <f t="shared" si="79"/>
        <v>0.99999999999995004</v>
      </c>
      <c r="N722">
        <f t="shared" si="80"/>
        <v>4.9986210255782915E-14</v>
      </c>
      <c r="O722">
        <f t="shared" si="81"/>
        <v>0.99999999999995004</v>
      </c>
      <c r="P722">
        <f t="shared" si="82"/>
        <v>-4.9960036108133294E-14</v>
      </c>
    </row>
    <row r="723" spans="1:16" x14ac:dyDescent="0.3">
      <c r="A723" s="2">
        <f t="shared" si="83"/>
        <v>719</v>
      </c>
      <c r="B723" s="2">
        <v>15</v>
      </c>
      <c r="C723" s="2">
        <v>0.8</v>
      </c>
      <c r="D723" s="2">
        <v>15</v>
      </c>
      <c r="E723" s="2">
        <v>1</v>
      </c>
      <c r="F723" s="2">
        <v>60</v>
      </c>
      <c r="G723" s="2">
        <v>0.9</v>
      </c>
      <c r="H723" s="2">
        <v>10</v>
      </c>
      <c r="I723" s="2">
        <v>0</v>
      </c>
      <c r="J723" s="2">
        <v>1</v>
      </c>
      <c r="K723">
        <f t="shared" si="77"/>
        <v>14.301542572289428</v>
      </c>
      <c r="L723">
        <f t="shared" si="78"/>
        <v>18.785888036497418</v>
      </c>
      <c r="M723">
        <f t="shared" si="79"/>
        <v>1.1158357136824304E-2</v>
      </c>
      <c r="N723">
        <f t="shared" si="80"/>
        <v>0.98884164286317566</v>
      </c>
      <c r="O723">
        <f t="shared" si="81"/>
        <v>0.98884164286317566</v>
      </c>
      <c r="P723">
        <f t="shared" si="82"/>
        <v>-1.1221078619411433E-2</v>
      </c>
    </row>
    <row r="724" spans="1:16" x14ac:dyDescent="0.3">
      <c r="A724" s="2">
        <f t="shared" si="83"/>
        <v>720</v>
      </c>
      <c r="B724" s="2">
        <v>25</v>
      </c>
      <c r="C724" s="2">
        <v>0.6</v>
      </c>
      <c r="D724" s="2">
        <v>15</v>
      </c>
      <c r="E724" s="2">
        <v>1</v>
      </c>
      <c r="F724" s="2">
        <v>60</v>
      </c>
      <c r="G724" s="2">
        <v>0.8</v>
      </c>
      <c r="H724" s="2">
        <v>20</v>
      </c>
      <c r="I724" s="2">
        <v>1</v>
      </c>
      <c r="J724" s="2">
        <v>0</v>
      </c>
      <c r="K724">
        <f t="shared" si="77"/>
        <v>35.133483746792109</v>
      </c>
      <c r="L724">
        <f t="shared" si="78"/>
        <v>24.967129345639712</v>
      </c>
      <c r="M724">
        <f t="shared" si="79"/>
        <v>0.9999615592645883</v>
      </c>
      <c r="N724">
        <f t="shared" si="80"/>
        <v>3.8440735411727647E-5</v>
      </c>
      <c r="O724">
        <f t="shared" si="81"/>
        <v>0.9999615592645883</v>
      </c>
      <c r="P724">
        <f t="shared" si="82"/>
        <v>-3.8441474275708991E-5</v>
      </c>
    </row>
    <row r="725" spans="1:16" x14ac:dyDescent="0.3">
      <c r="A725" s="2">
        <f t="shared" si="83"/>
        <v>721</v>
      </c>
      <c r="B725" s="2">
        <v>15</v>
      </c>
      <c r="C725" s="2">
        <v>0.4</v>
      </c>
      <c r="D725" s="2">
        <v>25</v>
      </c>
      <c r="E725" s="2">
        <v>1</v>
      </c>
      <c r="F725" s="2">
        <v>60</v>
      </c>
      <c r="G725" s="2">
        <v>0.8</v>
      </c>
      <c r="H725" s="2">
        <v>40</v>
      </c>
      <c r="I725" s="2">
        <v>1</v>
      </c>
      <c r="J725" s="2">
        <v>0</v>
      </c>
      <c r="K725">
        <f t="shared" si="77"/>
        <v>73.96651883062205</v>
      </c>
      <c r="L725">
        <f t="shared" si="78"/>
        <v>43.567658895085373</v>
      </c>
      <c r="M725">
        <f t="shared" si="79"/>
        <v>0.99999999999993716</v>
      </c>
      <c r="N725">
        <f t="shared" si="80"/>
        <v>6.2797575081325282E-14</v>
      </c>
      <c r="O725">
        <f t="shared" si="81"/>
        <v>0.99999999999993716</v>
      </c>
      <c r="P725">
        <f t="shared" si="82"/>
        <v>-6.2838623193785829E-14</v>
      </c>
    </row>
    <row r="726" spans="1:16" x14ac:dyDescent="0.3">
      <c r="A726" s="2">
        <f t="shared" si="83"/>
        <v>722</v>
      </c>
      <c r="B726" s="2">
        <v>15</v>
      </c>
      <c r="C726" s="2">
        <v>0.6</v>
      </c>
      <c r="D726" s="2">
        <v>25</v>
      </c>
      <c r="E726" s="2">
        <v>1</v>
      </c>
      <c r="F726" s="2">
        <v>60</v>
      </c>
      <c r="G726" s="2">
        <v>1</v>
      </c>
      <c r="H726" s="2">
        <v>20</v>
      </c>
      <c r="I726" s="2">
        <v>0</v>
      </c>
      <c r="J726" s="2">
        <v>1</v>
      </c>
      <c r="K726">
        <f t="shared" si="77"/>
        <v>32.302636481616688</v>
      </c>
      <c r="L726">
        <f t="shared" si="78"/>
        <v>40.018106544713142</v>
      </c>
      <c r="M726">
        <f t="shared" si="79"/>
        <v>4.4567710875082834E-4</v>
      </c>
      <c r="N726">
        <f t="shared" si="80"/>
        <v>0.99955432289124913</v>
      </c>
      <c r="O726">
        <f t="shared" si="81"/>
        <v>0.99955432289124913</v>
      </c>
      <c r="P726">
        <f t="shared" si="82"/>
        <v>-4.4577645231137086E-4</v>
      </c>
    </row>
    <row r="727" spans="1:16" x14ac:dyDescent="0.3">
      <c r="A727" s="2">
        <f t="shared" si="83"/>
        <v>723</v>
      </c>
      <c r="B727" s="2">
        <v>20</v>
      </c>
      <c r="C727" s="2">
        <v>0.4</v>
      </c>
      <c r="D727" s="2">
        <v>20</v>
      </c>
      <c r="E727" s="2">
        <v>1</v>
      </c>
      <c r="F727" s="2">
        <v>90</v>
      </c>
      <c r="G727" s="2">
        <v>0.9</v>
      </c>
      <c r="H727" s="2">
        <v>40</v>
      </c>
      <c r="I727" s="2">
        <v>1</v>
      </c>
      <c r="J727" s="2">
        <v>0</v>
      </c>
      <c r="K727">
        <f t="shared" si="77"/>
        <v>76.363014059866273</v>
      </c>
      <c r="L727">
        <f t="shared" si="78"/>
        <v>36.042170295548658</v>
      </c>
      <c r="M727">
        <f t="shared" si="79"/>
        <v>1</v>
      </c>
      <c r="N727">
        <f t="shared" si="80"/>
        <v>3.0823364885587301E-18</v>
      </c>
      <c r="O727">
        <f t="shared" si="81"/>
        <v>1</v>
      </c>
      <c r="P727">
        <f t="shared" si="82"/>
        <v>0</v>
      </c>
    </row>
    <row r="728" spans="1:16" x14ac:dyDescent="0.3">
      <c r="A728" s="2">
        <f t="shared" si="83"/>
        <v>724</v>
      </c>
      <c r="B728" s="2">
        <v>15</v>
      </c>
      <c r="C728" s="2">
        <v>0.6</v>
      </c>
      <c r="D728" s="2">
        <v>15</v>
      </c>
      <c r="E728" s="2">
        <v>1</v>
      </c>
      <c r="F728" s="2">
        <v>45</v>
      </c>
      <c r="G728" s="2">
        <v>0.8</v>
      </c>
      <c r="H728" s="2">
        <v>10</v>
      </c>
      <c r="I728" s="2">
        <v>0</v>
      </c>
      <c r="J728" s="2">
        <v>1</v>
      </c>
      <c r="K728">
        <f t="shared" si="77"/>
        <v>13.811006773961173</v>
      </c>
      <c r="L728">
        <f t="shared" si="78"/>
        <v>22.335440386869656</v>
      </c>
      <c r="M728">
        <f t="shared" si="79"/>
        <v>1.9851772832897794E-4</v>
      </c>
      <c r="N728">
        <f t="shared" si="80"/>
        <v>0.99980148227167109</v>
      </c>
      <c r="O728">
        <f t="shared" si="81"/>
        <v>0.99980148227167109</v>
      </c>
      <c r="P728">
        <f t="shared" si="82"/>
        <v>-1.9853743558133927E-4</v>
      </c>
    </row>
    <row r="729" spans="1:16" x14ac:dyDescent="0.3">
      <c r="A729" s="2">
        <f t="shared" si="83"/>
        <v>725</v>
      </c>
      <c r="B729" s="2">
        <v>15</v>
      </c>
      <c r="C729" s="2">
        <v>0.6</v>
      </c>
      <c r="D729" s="2">
        <v>25</v>
      </c>
      <c r="E729" s="2">
        <v>1</v>
      </c>
      <c r="F729" s="2">
        <v>60</v>
      </c>
      <c r="G729" s="2">
        <v>0.9</v>
      </c>
      <c r="H729" s="2">
        <v>20</v>
      </c>
      <c r="I729" s="2">
        <v>0</v>
      </c>
      <c r="J729" s="2">
        <v>1</v>
      </c>
      <c r="K729">
        <f t="shared" si="77"/>
        <v>33.718060114204398</v>
      </c>
      <c r="L729">
        <f t="shared" si="78"/>
        <v>40.018106544713142</v>
      </c>
      <c r="M729">
        <f t="shared" si="79"/>
        <v>1.8328539961610089E-3</v>
      </c>
      <c r="N729">
        <f t="shared" si="80"/>
        <v>0.99816714600383893</v>
      </c>
      <c r="O729">
        <f t="shared" si="81"/>
        <v>0.99816714600383893</v>
      </c>
      <c r="P729">
        <f t="shared" si="82"/>
        <v>-1.8345357282738065E-3</v>
      </c>
    </row>
    <row r="730" spans="1:16" x14ac:dyDescent="0.3">
      <c r="A730" s="2">
        <f t="shared" si="83"/>
        <v>726</v>
      </c>
      <c r="B730" s="2">
        <v>20</v>
      </c>
      <c r="C730" s="2">
        <v>0.8</v>
      </c>
      <c r="D730" s="2">
        <v>15</v>
      </c>
      <c r="E730" s="2">
        <v>1</v>
      </c>
      <c r="F730" s="2">
        <v>60</v>
      </c>
      <c r="G730" s="2">
        <v>0.8</v>
      </c>
      <c r="H730" s="2">
        <v>20</v>
      </c>
      <c r="I730" s="2">
        <v>1</v>
      </c>
      <c r="J730" s="2">
        <v>0</v>
      </c>
      <c r="K730">
        <f t="shared" si="77"/>
        <v>35.133483746792109</v>
      </c>
      <c r="L730">
        <f t="shared" si="78"/>
        <v>20.101732515882446</v>
      </c>
      <c r="M730">
        <f t="shared" si="79"/>
        <v>0.99999970365796542</v>
      </c>
      <c r="N730">
        <f t="shared" si="80"/>
        <v>2.9634203465196373E-7</v>
      </c>
      <c r="O730">
        <f t="shared" si="81"/>
        <v>0.99999970365796542</v>
      </c>
      <c r="P730">
        <f t="shared" si="82"/>
        <v>-2.9634207848737703E-7</v>
      </c>
    </row>
    <row r="731" spans="1:16" x14ac:dyDescent="0.3">
      <c r="A731" s="2">
        <f t="shared" si="83"/>
        <v>727</v>
      </c>
      <c r="B731" s="2">
        <v>15</v>
      </c>
      <c r="C731" s="2">
        <v>0.6</v>
      </c>
      <c r="D731" s="2">
        <v>25</v>
      </c>
      <c r="E731" s="2">
        <v>1</v>
      </c>
      <c r="F731" s="2">
        <v>60</v>
      </c>
      <c r="G731" s="2">
        <v>1</v>
      </c>
      <c r="H731" s="2">
        <v>20</v>
      </c>
      <c r="I731" s="2">
        <v>0</v>
      </c>
      <c r="J731" s="2">
        <v>1</v>
      </c>
      <c r="K731">
        <f t="shared" si="77"/>
        <v>32.302636481616688</v>
      </c>
      <c r="L731">
        <f t="shared" si="78"/>
        <v>40.018106544713142</v>
      </c>
      <c r="M731">
        <f t="shared" si="79"/>
        <v>4.4567710875082834E-4</v>
      </c>
      <c r="N731">
        <f t="shared" si="80"/>
        <v>0.99955432289124913</v>
      </c>
      <c r="O731">
        <f t="shared" si="81"/>
        <v>0.99955432289124913</v>
      </c>
      <c r="P731">
        <f t="shared" si="82"/>
        <v>-4.4577645231137086E-4</v>
      </c>
    </row>
    <row r="732" spans="1:16" x14ac:dyDescent="0.3">
      <c r="A732" s="2">
        <f t="shared" si="83"/>
        <v>728</v>
      </c>
      <c r="B732" s="2">
        <v>20</v>
      </c>
      <c r="C732" s="2">
        <v>0.8</v>
      </c>
      <c r="D732" s="2">
        <v>15</v>
      </c>
      <c r="E732" s="2">
        <v>1</v>
      </c>
      <c r="F732" s="2">
        <v>45</v>
      </c>
      <c r="G732" s="2">
        <v>0.9</v>
      </c>
      <c r="H732" s="2">
        <v>20</v>
      </c>
      <c r="I732" s="2">
        <v>1</v>
      </c>
      <c r="J732" s="2">
        <v>0</v>
      </c>
      <c r="K732">
        <f t="shared" si="77"/>
        <v>31.812100683288435</v>
      </c>
      <c r="L732">
        <f t="shared" si="78"/>
        <v>20.101732515882446</v>
      </c>
      <c r="M732">
        <f t="shared" si="79"/>
        <v>0.99999179179566833</v>
      </c>
      <c r="N732">
        <f t="shared" si="80"/>
        <v>8.2082043316076201E-6</v>
      </c>
      <c r="O732">
        <f t="shared" si="81"/>
        <v>0.99999179179566833</v>
      </c>
      <c r="P732">
        <f t="shared" si="82"/>
        <v>-8.2082380191657597E-6</v>
      </c>
    </row>
    <row r="733" spans="1:16" x14ac:dyDescent="0.3">
      <c r="A733" s="2">
        <f t="shared" si="83"/>
        <v>729</v>
      </c>
      <c r="B733" s="2">
        <v>15</v>
      </c>
      <c r="C733" s="2">
        <v>0.4</v>
      </c>
      <c r="D733" s="2">
        <v>20</v>
      </c>
      <c r="E733" s="2">
        <v>1</v>
      </c>
      <c r="F733" s="2">
        <v>90</v>
      </c>
      <c r="G733" s="2">
        <v>0.8</v>
      </c>
      <c r="H733" s="2">
        <v>40</v>
      </c>
      <c r="I733" s="2">
        <v>1</v>
      </c>
      <c r="J733" s="2">
        <v>0</v>
      </c>
      <c r="K733">
        <f t="shared" si="77"/>
        <v>77.778437692453977</v>
      </c>
      <c r="L733">
        <f t="shared" si="78"/>
        <v>34.72632581616363</v>
      </c>
      <c r="M733">
        <f t="shared" si="79"/>
        <v>1</v>
      </c>
      <c r="N733">
        <f t="shared" si="80"/>
        <v>2.007730321155067E-19</v>
      </c>
      <c r="O733">
        <f t="shared" si="81"/>
        <v>1</v>
      </c>
      <c r="P733">
        <f t="shared" si="82"/>
        <v>0</v>
      </c>
    </row>
    <row r="734" spans="1:16" x14ac:dyDescent="0.3">
      <c r="A734" s="2">
        <f t="shared" si="83"/>
        <v>730</v>
      </c>
      <c r="B734" s="2">
        <v>25</v>
      </c>
      <c r="C734" s="2">
        <v>0.4</v>
      </c>
      <c r="D734" s="2">
        <v>25</v>
      </c>
      <c r="E734" s="2">
        <v>1</v>
      </c>
      <c r="F734" s="2">
        <v>60</v>
      </c>
      <c r="G734" s="2">
        <v>0.9</v>
      </c>
      <c r="H734" s="2">
        <v>40</v>
      </c>
      <c r="I734" s="2">
        <v>1</v>
      </c>
      <c r="J734" s="2">
        <v>0</v>
      </c>
      <c r="K734">
        <f t="shared" si="77"/>
        <v>72.551095198034346</v>
      </c>
      <c r="L734">
        <f t="shared" si="78"/>
        <v>46.199347853855429</v>
      </c>
      <c r="M734">
        <f t="shared" si="79"/>
        <v>0.99999999999640599</v>
      </c>
      <c r="N734">
        <f t="shared" si="80"/>
        <v>3.5940286923990319E-12</v>
      </c>
      <c r="O734">
        <f t="shared" si="81"/>
        <v>0.99999999999640599</v>
      </c>
      <c r="P734">
        <f t="shared" si="82"/>
        <v>-3.5940139753230151E-12</v>
      </c>
    </row>
    <row r="735" spans="1:16" x14ac:dyDescent="0.3">
      <c r="A735" s="2">
        <f t="shared" si="83"/>
        <v>731</v>
      </c>
      <c r="B735" s="2">
        <v>20</v>
      </c>
      <c r="C735" s="2">
        <v>0.6</v>
      </c>
      <c r="D735" s="2">
        <v>15</v>
      </c>
      <c r="E735" s="2">
        <v>1</v>
      </c>
      <c r="F735" s="2">
        <v>45</v>
      </c>
      <c r="G735" s="2">
        <v>0.8</v>
      </c>
      <c r="H735" s="2">
        <v>10</v>
      </c>
      <c r="I735" s="2">
        <v>0</v>
      </c>
      <c r="J735" s="2">
        <v>1</v>
      </c>
      <c r="K735">
        <f t="shared" si="77"/>
        <v>13.811006773961173</v>
      </c>
      <c r="L735">
        <f t="shared" si="78"/>
        <v>23.651284866254684</v>
      </c>
      <c r="M735">
        <f t="shared" si="79"/>
        <v>5.3259660426304979E-5</v>
      </c>
      <c r="N735">
        <f t="shared" si="80"/>
        <v>0.99994674033957376</v>
      </c>
      <c r="O735">
        <f t="shared" si="81"/>
        <v>0.99994674033957376</v>
      </c>
      <c r="P735">
        <f t="shared" si="82"/>
        <v>-5.3261078772316419E-5</v>
      </c>
    </row>
    <row r="736" spans="1:16" x14ac:dyDescent="0.3">
      <c r="A736" s="2">
        <f t="shared" si="83"/>
        <v>732</v>
      </c>
      <c r="B736" s="2">
        <v>15</v>
      </c>
      <c r="C736" s="2">
        <v>0.4</v>
      </c>
      <c r="D736" s="2">
        <v>20</v>
      </c>
      <c r="E736" s="2">
        <v>1</v>
      </c>
      <c r="F736" s="2">
        <v>45</v>
      </c>
      <c r="G736" s="2">
        <v>0.9</v>
      </c>
      <c r="H736" s="2">
        <v>40</v>
      </c>
      <c r="I736" s="2">
        <v>1</v>
      </c>
      <c r="J736" s="2">
        <v>0</v>
      </c>
      <c r="K736">
        <f t="shared" si="77"/>
        <v>70.645135767118376</v>
      </c>
      <c r="L736">
        <f t="shared" si="78"/>
        <v>34.72632581616363</v>
      </c>
      <c r="M736">
        <f t="shared" si="79"/>
        <v>0.99999999999999978</v>
      </c>
      <c r="N736">
        <f t="shared" si="80"/>
        <v>2.5157011122038349E-16</v>
      </c>
      <c r="O736">
        <f t="shared" si="81"/>
        <v>0.99999999999999978</v>
      </c>
      <c r="P736">
        <f t="shared" si="82"/>
        <v>-2.2204460492503131E-16</v>
      </c>
    </row>
    <row r="737" spans="1:16" x14ac:dyDescent="0.3">
      <c r="A737" s="2">
        <f t="shared" si="83"/>
        <v>733</v>
      </c>
      <c r="B737" s="2">
        <v>15</v>
      </c>
      <c r="C737" s="2">
        <v>0.8</v>
      </c>
      <c r="D737" s="2">
        <v>25</v>
      </c>
      <c r="E737" s="2">
        <v>1</v>
      </c>
      <c r="F737" s="2">
        <v>90</v>
      </c>
      <c r="G737" s="2">
        <v>1</v>
      </c>
      <c r="H737" s="2">
        <v>40</v>
      </c>
      <c r="I737" s="2">
        <v>1</v>
      </c>
      <c r="J737" s="2">
        <v>0</v>
      </c>
      <c r="K737">
        <f t="shared" si="77"/>
        <v>74.947590427278556</v>
      </c>
      <c r="L737">
        <f t="shared" si="78"/>
        <v>36.468554194340904</v>
      </c>
      <c r="M737">
        <f t="shared" si="79"/>
        <v>1</v>
      </c>
      <c r="N737">
        <f t="shared" si="80"/>
        <v>1.9443162016111955E-17</v>
      </c>
      <c r="O737">
        <f t="shared" si="81"/>
        <v>1</v>
      </c>
      <c r="P737">
        <f t="shared" si="82"/>
        <v>0</v>
      </c>
    </row>
    <row r="738" spans="1:16" x14ac:dyDescent="0.3">
      <c r="A738" s="2">
        <f t="shared" si="83"/>
        <v>734</v>
      </c>
      <c r="B738" s="2">
        <v>20</v>
      </c>
      <c r="C738" s="2">
        <v>0.8</v>
      </c>
      <c r="D738" s="2">
        <v>20</v>
      </c>
      <c r="E738" s="2">
        <v>1</v>
      </c>
      <c r="F738" s="2">
        <v>90</v>
      </c>
      <c r="G738" s="2">
        <v>0.9</v>
      </c>
      <c r="H738" s="2">
        <v>20</v>
      </c>
      <c r="I738" s="2">
        <v>1</v>
      </c>
      <c r="J738" s="2">
        <v>0</v>
      </c>
      <c r="K738">
        <f t="shared" si="77"/>
        <v>37.529978976036332</v>
      </c>
      <c r="L738">
        <f t="shared" si="78"/>
        <v>28.943065594804185</v>
      </c>
      <c r="M738">
        <f t="shared" si="79"/>
        <v>0.99981350383736722</v>
      </c>
      <c r="N738">
        <f t="shared" si="80"/>
        <v>1.8649616263283301E-4</v>
      </c>
      <c r="O738">
        <f t="shared" si="81"/>
        <v>0.99981350383736722</v>
      </c>
      <c r="P738">
        <f t="shared" si="82"/>
        <v>-1.8651355520458049E-4</v>
      </c>
    </row>
    <row r="739" spans="1:16" x14ac:dyDescent="0.3">
      <c r="A739" s="2">
        <f t="shared" si="83"/>
        <v>735</v>
      </c>
      <c r="B739" s="2">
        <v>25</v>
      </c>
      <c r="C739" s="2">
        <v>0.8</v>
      </c>
      <c r="D739" s="2">
        <v>25</v>
      </c>
      <c r="E739" s="2">
        <v>1</v>
      </c>
      <c r="F739" s="2">
        <v>90</v>
      </c>
      <c r="G739" s="2">
        <v>0.8</v>
      </c>
      <c r="H739" s="2">
        <v>10</v>
      </c>
      <c r="I739" s="2">
        <v>0</v>
      </c>
      <c r="J739" s="2">
        <v>1</v>
      </c>
      <c r="K739">
        <f t="shared" si="77"/>
        <v>19.528885066709069</v>
      </c>
      <c r="L739">
        <f t="shared" si="78"/>
        <v>39.100243153110959</v>
      </c>
      <c r="M739">
        <f t="shared" si="79"/>
        <v>3.1642236947177838E-9</v>
      </c>
      <c r="N739">
        <f t="shared" si="80"/>
        <v>0.99999999683577634</v>
      </c>
      <c r="O739">
        <f t="shared" si="81"/>
        <v>0.99999999683577634</v>
      </c>
      <c r="P739">
        <f t="shared" si="82"/>
        <v>-3.1642236658737047E-9</v>
      </c>
    </row>
    <row r="740" spans="1:16" x14ac:dyDescent="0.3">
      <c r="A740" s="2">
        <f t="shared" si="83"/>
        <v>736</v>
      </c>
      <c r="B740" s="2">
        <v>20</v>
      </c>
      <c r="C740" s="2">
        <v>0.8</v>
      </c>
      <c r="D740" s="2">
        <v>15</v>
      </c>
      <c r="E740" s="2">
        <v>1</v>
      </c>
      <c r="F740" s="2">
        <v>60</v>
      </c>
      <c r="G740" s="2">
        <v>1</v>
      </c>
      <c r="H740" s="2">
        <v>10</v>
      </c>
      <c r="I740" s="2">
        <v>0</v>
      </c>
      <c r="J740" s="2">
        <v>1</v>
      </c>
      <c r="K740">
        <f t="shared" si="77"/>
        <v>12.886118939701717</v>
      </c>
      <c r="L740">
        <f t="shared" si="78"/>
        <v>20.101732515882446</v>
      </c>
      <c r="M740">
        <f t="shared" si="79"/>
        <v>7.3447960813862172E-4</v>
      </c>
      <c r="N740">
        <f t="shared" si="80"/>
        <v>0.99926552039186145</v>
      </c>
      <c r="O740">
        <f t="shared" si="81"/>
        <v>0.99926552039186145</v>
      </c>
      <c r="P740">
        <f t="shared" si="82"/>
        <v>-7.3474947043292778E-4</v>
      </c>
    </row>
    <row r="741" spans="1:16" x14ac:dyDescent="0.3">
      <c r="A741" s="2">
        <f t="shared" si="83"/>
        <v>737</v>
      </c>
      <c r="B741" s="2">
        <v>25</v>
      </c>
      <c r="C741" s="2">
        <v>0.6</v>
      </c>
      <c r="D741" s="2">
        <v>25</v>
      </c>
      <c r="E741" s="2">
        <v>1</v>
      </c>
      <c r="F741" s="2">
        <v>45</v>
      </c>
      <c r="G741" s="2">
        <v>1</v>
      </c>
      <c r="H741" s="2">
        <v>20</v>
      </c>
      <c r="I741" s="2">
        <v>0</v>
      </c>
      <c r="J741" s="2">
        <v>1</v>
      </c>
      <c r="K741">
        <f t="shared" si="77"/>
        <v>30.396677050700724</v>
      </c>
      <c r="L741">
        <f t="shared" si="78"/>
        <v>42.649795503483197</v>
      </c>
      <c r="M741">
        <f t="shared" si="79"/>
        <v>4.7701957174702779E-6</v>
      </c>
      <c r="N741">
        <f t="shared" si="80"/>
        <v>0.99999522980428257</v>
      </c>
      <c r="O741">
        <f t="shared" si="81"/>
        <v>0.99999522980428257</v>
      </c>
      <c r="P741">
        <f t="shared" si="82"/>
        <v>-4.77020709484931E-6</v>
      </c>
    </row>
    <row r="742" spans="1:16" x14ac:dyDescent="0.3">
      <c r="A742" s="2">
        <f t="shared" si="83"/>
        <v>738</v>
      </c>
      <c r="B742" s="2">
        <v>25</v>
      </c>
      <c r="C742" s="2">
        <v>0.4</v>
      </c>
      <c r="D742" s="2">
        <v>25</v>
      </c>
      <c r="E742" s="2">
        <v>1</v>
      </c>
      <c r="F742" s="2">
        <v>45</v>
      </c>
      <c r="G742" s="2">
        <v>0.9</v>
      </c>
      <c r="H742" s="2">
        <v>40</v>
      </c>
      <c r="I742" s="2">
        <v>1</v>
      </c>
      <c r="J742" s="2">
        <v>0</v>
      </c>
      <c r="K742">
        <f t="shared" si="77"/>
        <v>70.645135767118376</v>
      </c>
      <c r="L742">
        <f t="shared" si="78"/>
        <v>46.199347853855429</v>
      </c>
      <c r="M742">
        <f t="shared" si="79"/>
        <v>0.99999999997582711</v>
      </c>
      <c r="N742">
        <f t="shared" si="80"/>
        <v>2.4172924938539105E-11</v>
      </c>
      <c r="O742">
        <f t="shared" si="81"/>
        <v>0.99999999997582711</v>
      </c>
      <c r="P742">
        <f t="shared" si="82"/>
        <v>-2.4172885915455696E-11</v>
      </c>
    </row>
    <row r="743" spans="1:16" x14ac:dyDescent="0.3">
      <c r="A743" s="2">
        <f t="shared" si="83"/>
        <v>739</v>
      </c>
      <c r="B743" s="2">
        <v>20</v>
      </c>
      <c r="C743" s="2">
        <v>0.8</v>
      </c>
      <c r="D743" s="2">
        <v>15</v>
      </c>
      <c r="E743" s="2">
        <v>1</v>
      </c>
      <c r="F743" s="2">
        <v>45</v>
      </c>
      <c r="G743" s="2">
        <v>1</v>
      </c>
      <c r="H743" s="2">
        <v>20</v>
      </c>
      <c r="I743" s="2">
        <v>1</v>
      </c>
      <c r="J743" s="2">
        <v>0</v>
      </c>
      <c r="K743">
        <f t="shared" si="77"/>
        <v>30.396677050700724</v>
      </c>
      <c r="L743">
        <f t="shared" si="78"/>
        <v>20.101732515882446</v>
      </c>
      <c r="M743">
        <f t="shared" si="79"/>
        <v>0.99996619758599647</v>
      </c>
      <c r="N743">
        <f t="shared" si="80"/>
        <v>3.3802414003503869E-5</v>
      </c>
      <c r="O743">
        <f t="shared" si="81"/>
        <v>0.99996619758599647</v>
      </c>
      <c r="P743">
        <f t="shared" si="82"/>
        <v>-3.3802985317996159E-5</v>
      </c>
    </row>
    <row r="744" spans="1:16" x14ac:dyDescent="0.3">
      <c r="A744" s="2">
        <f t="shared" si="83"/>
        <v>740</v>
      </c>
      <c r="B744" s="2">
        <v>25</v>
      </c>
      <c r="C744" s="2">
        <v>0.8</v>
      </c>
      <c r="D744" s="2">
        <v>25</v>
      </c>
      <c r="E744" s="2">
        <v>1</v>
      </c>
      <c r="F744" s="2">
        <v>60</v>
      </c>
      <c r="G744" s="2">
        <v>0.8</v>
      </c>
      <c r="H744" s="2">
        <v>20</v>
      </c>
      <c r="I744" s="2">
        <v>0</v>
      </c>
      <c r="J744" s="2">
        <v>1</v>
      </c>
      <c r="K744">
        <f t="shared" si="77"/>
        <v>35.133483746792109</v>
      </c>
      <c r="L744">
        <f t="shared" si="78"/>
        <v>39.100243153110959</v>
      </c>
      <c r="M744">
        <f t="shared" si="79"/>
        <v>1.8582833218831318E-2</v>
      </c>
      <c r="N744">
        <f t="shared" si="80"/>
        <v>0.98141716678116864</v>
      </c>
      <c r="O744">
        <f t="shared" si="81"/>
        <v>0.98141716678116864</v>
      </c>
      <c r="P744">
        <f t="shared" si="82"/>
        <v>-1.8757663344442281E-2</v>
      </c>
    </row>
    <row r="745" spans="1:16" x14ac:dyDescent="0.3">
      <c r="A745" s="2">
        <f t="shared" si="83"/>
        <v>741</v>
      </c>
      <c r="B745" s="2">
        <v>25</v>
      </c>
      <c r="C745" s="2">
        <v>0.4</v>
      </c>
      <c r="D745" s="2">
        <v>25</v>
      </c>
      <c r="E745" s="2">
        <v>1</v>
      </c>
      <c r="F745" s="2">
        <v>45</v>
      </c>
      <c r="G745" s="2">
        <v>0.9</v>
      </c>
      <c r="H745" s="2">
        <v>10</v>
      </c>
      <c r="I745" s="2">
        <v>0</v>
      </c>
      <c r="J745" s="2">
        <v>1</v>
      </c>
      <c r="K745">
        <f t="shared" si="77"/>
        <v>12.395583141373463</v>
      </c>
      <c r="L745">
        <f t="shared" si="78"/>
        <v>46.199347853855429</v>
      </c>
      <c r="M745">
        <f t="shared" si="79"/>
        <v>2.0855063561420589E-15</v>
      </c>
      <c r="N745">
        <f t="shared" si="80"/>
        <v>0.99999999999999789</v>
      </c>
      <c r="O745">
        <f t="shared" si="81"/>
        <v>0.99999999999999789</v>
      </c>
      <c r="P745">
        <f t="shared" si="82"/>
        <v>-2.1094237467877998E-15</v>
      </c>
    </row>
    <row r="746" spans="1:16" x14ac:dyDescent="0.3">
      <c r="A746" s="2">
        <f t="shared" si="83"/>
        <v>742</v>
      </c>
      <c r="B746" s="2">
        <v>20</v>
      </c>
      <c r="C746" s="2">
        <v>0.8</v>
      </c>
      <c r="D746" s="2">
        <v>15</v>
      </c>
      <c r="E746" s="2">
        <v>1</v>
      </c>
      <c r="F746" s="2">
        <v>60</v>
      </c>
      <c r="G746" s="2">
        <v>0.8</v>
      </c>
      <c r="H746" s="2">
        <v>40</v>
      </c>
      <c r="I746" s="2">
        <v>1</v>
      </c>
      <c r="J746" s="2">
        <v>0</v>
      </c>
      <c r="K746">
        <f t="shared" si="77"/>
        <v>73.96651883062205</v>
      </c>
      <c r="L746">
        <f t="shared" si="78"/>
        <v>20.101732515882446</v>
      </c>
      <c r="M746">
        <f t="shared" si="79"/>
        <v>1</v>
      </c>
      <c r="N746">
        <f t="shared" si="80"/>
        <v>4.0440874158840642E-24</v>
      </c>
      <c r="O746">
        <f t="shared" si="81"/>
        <v>1</v>
      </c>
      <c r="P746">
        <f t="shared" si="82"/>
        <v>0</v>
      </c>
    </row>
    <row r="747" spans="1:16" x14ac:dyDescent="0.3">
      <c r="A747" s="2">
        <f t="shared" si="83"/>
        <v>743</v>
      </c>
      <c r="B747" s="2">
        <v>15</v>
      </c>
      <c r="C747" s="2">
        <v>0.4</v>
      </c>
      <c r="D747" s="2">
        <v>25</v>
      </c>
      <c r="E747" s="2">
        <v>1</v>
      </c>
      <c r="F747" s="2">
        <v>60</v>
      </c>
      <c r="G747" s="2">
        <v>0.8</v>
      </c>
      <c r="H747" s="2">
        <v>20</v>
      </c>
      <c r="I747" s="2">
        <v>0</v>
      </c>
      <c r="J747" s="2">
        <v>1</v>
      </c>
      <c r="K747">
        <f t="shared" si="77"/>
        <v>35.133483746792109</v>
      </c>
      <c r="L747">
        <f t="shared" si="78"/>
        <v>43.567658895085373</v>
      </c>
      <c r="M747">
        <f t="shared" si="79"/>
        <v>2.1726506829857856E-4</v>
      </c>
      <c r="N747">
        <f t="shared" si="80"/>
        <v>0.99978273493170144</v>
      </c>
      <c r="O747">
        <f t="shared" si="81"/>
        <v>0.99978273493170144</v>
      </c>
      <c r="P747">
        <f t="shared" si="82"/>
        <v>-2.1728867377266545E-4</v>
      </c>
    </row>
    <row r="748" spans="1:16" x14ac:dyDescent="0.3">
      <c r="A748" s="2">
        <f t="shared" si="83"/>
        <v>744</v>
      </c>
      <c r="B748" s="2">
        <v>20</v>
      </c>
      <c r="C748" s="2">
        <v>0.4</v>
      </c>
      <c r="D748" s="2">
        <v>25</v>
      </c>
      <c r="E748" s="2">
        <v>1</v>
      </c>
      <c r="F748" s="2">
        <v>90</v>
      </c>
      <c r="G748" s="2">
        <v>1</v>
      </c>
      <c r="H748" s="2">
        <v>10</v>
      </c>
      <c r="I748" s="2">
        <v>0</v>
      </c>
      <c r="J748" s="2">
        <v>1</v>
      </c>
      <c r="K748">
        <f t="shared" si="77"/>
        <v>16.698037801533648</v>
      </c>
      <c r="L748">
        <f t="shared" si="78"/>
        <v>44.883503374470401</v>
      </c>
      <c r="M748">
        <f t="shared" si="79"/>
        <v>5.7439127162139631E-13</v>
      </c>
      <c r="N748">
        <f t="shared" si="80"/>
        <v>0.99999999999942568</v>
      </c>
      <c r="O748">
        <f t="shared" si="81"/>
        <v>0.99999999999942568</v>
      </c>
      <c r="P748">
        <f t="shared" si="82"/>
        <v>-5.7431837063875837E-13</v>
      </c>
    </row>
    <row r="749" spans="1:16" x14ac:dyDescent="0.3">
      <c r="A749" s="2">
        <f t="shared" si="83"/>
        <v>745</v>
      </c>
      <c r="B749" s="2">
        <v>15</v>
      </c>
      <c r="C749" s="2">
        <v>0.8</v>
      </c>
      <c r="D749" s="2">
        <v>20</v>
      </c>
      <c r="E749" s="2">
        <v>1</v>
      </c>
      <c r="F749" s="2">
        <v>45</v>
      </c>
      <c r="G749" s="2">
        <v>0.9</v>
      </c>
      <c r="H749" s="2">
        <v>40</v>
      </c>
      <c r="I749" s="2">
        <v>1</v>
      </c>
      <c r="J749" s="2">
        <v>0</v>
      </c>
      <c r="K749">
        <f t="shared" si="77"/>
        <v>70.645135767118376</v>
      </c>
      <c r="L749">
        <f t="shared" si="78"/>
        <v>27.627221115419157</v>
      </c>
      <c r="M749">
        <f t="shared" si="79"/>
        <v>1</v>
      </c>
      <c r="N749">
        <f t="shared" si="80"/>
        <v>2.0775765935188758E-19</v>
      </c>
      <c r="O749">
        <f t="shared" si="81"/>
        <v>1</v>
      </c>
      <c r="P749">
        <f t="shared" si="82"/>
        <v>0</v>
      </c>
    </row>
    <row r="750" spans="1:16" x14ac:dyDescent="0.3">
      <c r="A750" s="2">
        <f t="shared" si="83"/>
        <v>746</v>
      </c>
      <c r="B750" s="2">
        <v>25</v>
      </c>
      <c r="C750" s="2">
        <v>0.6</v>
      </c>
      <c r="D750" s="2">
        <v>20</v>
      </c>
      <c r="E750" s="2">
        <v>1</v>
      </c>
      <c r="F750" s="2">
        <v>60</v>
      </c>
      <c r="G750" s="2">
        <v>1</v>
      </c>
      <c r="H750" s="2">
        <v>20</v>
      </c>
      <c r="I750" s="2">
        <v>0</v>
      </c>
      <c r="J750" s="2">
        <v>1</v>
      </c>
      <c r="K750">
        <f t="shared" si="77"/>
        <v>32.302636481616688</v>
      </c>
      <c r="L750">
        <f t="shared" si="78"/>
        <v>33.808462424561448</v>
      </c>
      <c r="M750">
        <f t="shared" si="79"/>
        <v>0.18155821221390714</v>
      </c>
      <c r="N750">
        <f t="shared" si="80"/>
        <v>0.81844178778609278</v>
      </c>
      <c r="O750">
        <f t="shared" si="81"/>
        <v>0.81844178778609278</v>
      </c>
      <c r="P750">
        <f t="shared" si="82"/>
        <v>-0.2003530053035672</v>
      </c>
    </row>
    <row r="751" spans="1:16" x14ac:dyDescent="0.3">
      <c r="A751" s="2">
        <f t="shared" si="83"/>
        <v>747</v>
      </c>
      <c r="B751" s="2">
        <v>20</v>
      </c>
      <c r="C751" s="2">
        <v>0.8</v>
      </c>
      <c r="D751" s="2">
        <v>20</v>
      </c>
      <c r="E751" s="2">
        <v>1</v>
      </c>
      <c r="F751" s="2">
        <v>60</v>
      </c>
      <c r="G751" s="2">
        <v>0.8</v>
      </c>
      <c r="H751" s="2">
        <v>20</v>
      </c>
      <c r="I751" s="2">
        <v>1</v>
      </c>
      <c r="J751" s="2">
        <v>0</v>
      </c>
      <c r="K751">
        <f t="shared" si="77"/>
        <v>35.133483746792109</v>
      </c>
      <c r="L751">
        <f t="shared" si="78"/>
        <v>28.943065594804185</v>
      </c>
      <c r="M751">
        <f t="shared" si="79"/>
        <v>0.99795521989933356</v>
      </c>
      <c r="N751">
        <f t="shared" si="80"/>
        <v>2.044780100666433E-3</v>
      </c>
      <c r="O751">
        <f t="shared" si="81"/>
        <v>0.99795521989933356</v>
      </c>
      <c r="P751">
        <f t="shared" si="82"/>
        <v>-2.0468735177016145E-3</v>
      </c>
    </row>
    <row r="752" spans="1:16" x14ac:dyDescent="0.3">
      <c r="A752" s="2">
        <f t="shared" si="83"/>
        <v>748</v>
      </c>
      <c r="B752" s="2">
        <v>15</v>
      </c>
      <c r="C752" s="2">
        <v>0.4</v>
      </c>
      <c r="D752" s="2">
        <v>25</v>
      </c>
      <c r="E752" s="2">
        <v>1</v>
      </c>
      <c r="F752" s="2">
        <v>60</v>
      </c>
      <c r="G752" s="2">
        <v>1</v>
      </c>
      <c r="H752" s="2">
        <v>20</v>
      </c>
      <c r="I752" s="2">
        <v>0</v>
      </c>
      <c r="J752" s="2">
        <v>1</v>
      </c>
      <c r="K752">
        <f t="shared" si="77"/>
        <v>32.302636481616688</v>
      </c>
      <c r="L752">
        <f t="shared" si="78"/>
        <v>43.567658895085373</v>
      </c>
      <c r="M752">
        <f t="shared" si="79"/>
        <v>1.2813192845983381E-5</v>
      </c>
      <c r="N752">
        <f t="shared" si="80"/>
        <v>0.99998718680715404</v>
      </c>
      <c r="O752">
        <f t="shared" si="81"/>
        <v>0.99998718680715404</v>
      </c>
      <c r="P752">
        <f t="shared" si="82"/>
        <v>-1.2813274935618504E-5</v>
      </c>
    </row>
    <row r="753" spans="1:16" x14ac:dyDescent="0.3">
      <c r="A753" s="2">
        <f t="shared" si="83"/>
        <v>749</v>
      </c>
      <c r="B753" s="2">
        <v>15</v>
      </c>
      <c r="C753" s="2">
        <v>0.8</v>
      </c>
      <c r="D753" s="2">
        <v>20</v>
      </c>
      <c r="E753" s="2">
        <v>1</v>
      </c>
      <c r="F753" s="2">
        <v>45</v>
      </c>
      <c r="G753" s="2">
        <v>0.9</v>
      </c>
      <c r="H753" s="2">
        <v>10</v>
      </c>
      <c r="I753" s="2">
        <v>0</v>
      </c>
      <c r="J753" s="2">
        <v>1</v>
      </c>
      <c r="K753">
        <f t="shared" si="77"/>
        <v>12.395583141373463</v>
      </c>
      <c r="L753">
        <f t="shared" si="78"/>
        <v>27.627221115419157</v>
      </c>
      <c r="M753">
        <f t="shared" si="79"/>
        <v>2.4265183065499071E-7</v>
      </c>
      <c r="N753">
        <f t="shared" si="80"/>
        <v>0.99999975734816926</v>
      </c>
      <c r="O753">
        <f t="shared" si="81"/>
        <v>0.99999975734816926</v>
      </c>
      <c r="P753">
        <f t="shared" si="82"/>
        <v>-2.4265186017964213E-7</v>
      </c>
    </row>
    <row r="754" spans="1:16" x14ac:dyDescent="0.3">
      <c r="A754" s="2">
        <f t="shared" si="83"/>
        <v>750</v>
      </c>
      <c r="B754" s="2">
        <v>20</v>
      </c>
      <c r="C754" s="2">
        <v>0.8</v>
      </c>
      <c r="D754" s="2">
        <v>25</v>
      </c>
      <c r="E754" s="2">
        <v>1</v>
      </c>
      <c r="F754" s="2">
        <v>45</v>
      </c>
      <c r="G754" s="2">
        <v>0.9</v>
      </c>
      <c r="H754" s="2">
        <v>10</v>
      </c>
      <c r="I754" s="2">
        <v>0</v>
      </c>
      <c r="J754" s="2">
        <v>1</v>
      </c>
      <c r="K754">
        <f t="shared" si="77"/>
        <v>12.395583141373463</v>
      </c>
      <c r="L754">
        <f t="shared" si="78"/>
        <v>37.784398673725924</v>
      </c>
      <c r="M754">
        <f t="shared" si="79"/>
        <v>9.4140719287676013E-12</v>
      </c>
      <c r="N754">
        <f t="shared" si="80"/>
        <v>0.99999999999058586</v>
      </c>
      <c r="O754">
        <f t="shared" si="81"/>
        <v>0.99999999999058586</v>
      </c>
      <c r="P754">
        <f t="shared" si="82"/>
        <v>-9.4141361373533272E-12</v>
      </c>
    </row>
    <row r="755" spans="1:16" x14ac:dyDescent="0.3">
      <c r="A755" s="2">
        <f t="shared" si="83"/>
        <v>751</v>
      </c>
      <c r="B755" s="2">
        <v>20</v>
      </c>
      <c r="C755" s="2">
        <v>0.6</v>
      </c>
      <c r="D755" s="2">
        <v>20</v>
      </c>
      <c r="E755" s="2">
        <v>1</v>
      </c>
      <c r="F755" s="2">
        <v>90</v>
      </c>
      <c r="G755" s="2">
        <v>0.8</v>
      </c>
      <c r="H755" s="2">
        <v>20</v>
      </c>
      <c r="I755" s="2">
        <v>1</v>
      </c>
      <c r="J755" s="2">
        <v>0</v>
      </c>
      <c r="K755">
        <f t="shared" si="77"/>
        <v>38.945402608624036</v>
      </c>
      <c r="L755">
        <f t="shared" si="78"/>
        <v>32.49261794517642</v>
      </c>
      <c r="M755">
        <f t="shared" si="79"/>
        <v>0.99842635319861806</v>
      </c>
      <c r="N755">
        <f t="shared" si="80"/>
        <v>1.5736468013818577E-3</v>
      </c>
      <c r="O755">
        <f t="shared" si="81"/>
        <v>0.99842635319861806</v>
      </c>
      <c r="P755">
        <f t="shared" si="82"/>
        <v>-1.5748862840189522E-3</v>
      </c>
    </row>
    <row r="756" spans="1:16" x14ac:dyDescent="0.3">
      <c r="A756" s="2">
        <f t="shared" si="83"/>
        <v>752</v>
      </c>
      <c r="B756" s="2">
        <v>25</v>
      </c>
      <c r="C756" s="2">
        <v>0.4</v>
      </c>
      <c r="D756" s="2">
        <v>15</v>
      </c>
      <c r="E756" s="2">
        <v>1</v>
      </c>
      <c r="F756" s="2">
        <v>60</v>
      </c>
      <c r="G756" s="2">
        <v>1</v>
      </c>
      <c r="H756" s="2">
        <v>10</v>
      </c>
      <c r="I756" s="2">
        <v>0</v>
      </c>
      <c r="J756" s="2">
        <v>1</v>
      </c>
      <c r="K756">
        <f t="shared" si="77"/>
        <v>12.886118939701717</v>
      </c>
      <c r="L756">
        <f t="shared" si="78"/>
        <v>28.51668169601195</v>
      </c>
      <c r="M756">
        <f t="shared" si="79"/>
        <v>1.6282938222914318E-7</v>
      </c>
      <c r="N756">
        <f t="shared" si="80"/>
        <v>0.99999983717061769</v>
      </c>
      <c r="O756">
        <f t="shared" si="81"/>
        <v>0.99999983717061769</v>
      </c>
      <c r="P756">
        <f t="shared" si="82"/>
        <v>-1.6282939556753043E-7</v>
      </c>
    </row>
    <row r="757" spans="1:16" x14ac:dyDescent="0.3">
      <c r="A757" s="2">
        <f t="shared" si="83"/>
        <v>753</v>
      </c>
      <c r="B757" s="2">
        <v>20</v>
      </c>
      <c r="C757" s="2">
        <v>0.8</v>
      </c>
      <c r="D757" s="2">
        <v>15</v>
      </c>
      <c r="E757" s="2">
        <v>1</v>
      </c>
      <c r="F757" s="2">
        <v>45</v>
      </c>
      <c r="G757" s="2">
        <v>0.9</v>
      </c>
      <c r="H757" s="2">
        <v>10</v>
      </c>
      <c r="I757" s="2">
        <v>0</v>
      </c>
      <c r="J757" s="2">
        <v>1</v>
      </c>
      <c r="K757">
        <f t="shared" si="77"/>
        <v>12.395583141373463</v>
      </c>
      <c r="L757">
        <f t="shared" si="78"/>
        <v>20.101732515882446</v>
      </c>
      <c r="M757">
        <f t="shared" si="79"/>
        <v>4.4984866831622515E-4</v>
      </c>
      <c r="N757">
        <f t="shared" si="80"/>
        <v>0.99955015133168379</v>
      </c>
      <c r="O757">
        <f t="shared" si="81"/>
        <v>0.99955015133168379</v>
      </c>
      <c r="P757">
        <f t="shared" si="82"/>
        <v>-4.4994988058301064E-4</v>
      </c>
    </row>
    <row r="758" spans="1:16" x14ac:dyDescent="0.3">
      <c r="A758" s="2">
        <f t="shared" si="83"/>
        <v>754</v>
      </c>
      <c r="B758" s="2">
        <v>25</v>
      </c>
      <c r="C758" s="2">
        <v>0.6</v>
      </c>
      <c r="D758" s="2">
        <v>25</v>
      </c>
      <c r="E758" s="2">
        <v>1</v>
      </c>
      <c r="F758" s="2">
        <v>45</v>
      </c>
      <c r="G758" s="2">
        <v>0.9</v>
      </c>
      <c r="H758" s="2">
        <v>20</v>
      </c>
      <c r="I758" s="2">
        <v>0</v>
      </c>
      <c r="J758" s="2">
        <v>1</v>
      </c>
      <c r="K758">
        <f t="shared" si="77"/>
        <v>31.812100683288435</v>
      </c>
      <c r="L758">
        <f t="shared" si="78"/>
        <v>42.649795503483197</v>
      </c>
      <c r="M758">
        <f t="shared" si="79"/>
        <v>1.9644474308637647E-5</v>
      </c>
      <c r="N758">
        <f t="shared" si="80"/>
        <v>0.99998035552569131</v>
      </c>
      <c r="O758">
        <f t="shared" si="81"/>
        <v>0.99998035552569131</v>
      </c>
      <c r="P758">
        <f t="shared" si="82"/>
        <v>-1.9644667263901204E-5</v>
      </c>
    </row>
    <row r="759" spans="1:16" x14ac:dyDescent="0.3">
      <c r="A759" s="2">
        <f t="shared" si="83"/>
        <v>755</v>
      </c>
      <c r="B759" s="2">
        <v>20</v>
      </c>
      <c r="C759" s="2">
        <v>0.6</v>
      </c>
      <c r="D759" s="2">
        <v>20</v>
      </c>
      <c r="E759" s="2">
        <v>1</v>
      </c>
      <c r="F759" s="2">
        <v>60</v>
      </c>
      <c r="G759" s="2">
        <v>1</v>
      </c>
      <c r="H759" s="2">
        <v>10</v>
      </c>
      <c r="I759" s="2">
        <v>0</v>
      </c>
      <c r="J759" s="2">
        <v>1</v>
      </c>
      <c r="K759">
        <f t="shared" si="77"/>
        <v>12.886118939701717</v>
      </c>
      <c r="L759">
        <f t="shared" si="78"/>
        <v>32.49261794517642</v>
      </c>
      <c r="M759">
        <f t="shared" si="79"/>
        <v>3.0549610055970583E-9</v>
      </c>
      <c r="N759">
        <f t="shared" si="80"/>
        <v>0.99999999694503894</v>
      </c>
      <c r="O759">
        <f t="shared" si="81"/>
        <v>0.99999999694503894</v>
      </c>
      <c r="P759">
        <f t="shared" si="82"/>
        <v>-3.0549610665654576E-9</v>
      </c>
    </row>
    <row r="760" spans="1:16" x14ac:dyDescent="0.3">
      <c r="A760" s="2">
        <f t="shared" si="83"/>
        <v>756</v>
      </c>
      <c r="B760" s="2">
        <v>20</v>
      </c>
      <c r="C760" s="2">
        <v>0.8</v>
      </c>
      <c r="D760" s="2">
        <v>25</v>
      </c>
      <c r="E760" s="2">
        <v>1</v>
      </c>
      <c r="F760" s="2">
        <v>60</v>
      </c>
      <c r="G760" s="2">
        <v>0.9</v>
      </c>
      <c r="H760" s="2">
        <v>10</v>
      </c>
      <c r="I760" s="2">
        <v>0</v>
      </c>
      <c r="J760" s="2">
        <v>1</v>
      </c>
      <c r="K760">
        <f t="shared" si="77"/>
        <v>14.301542572289428</v>
      </c>
      <c r="L760">
        <f t="shared" si="78"/>
        <v>37.784398673725924</v>
      </c>
      <c r="M760">
        <f t="shared" si="79"/>
        <v>6.3317706554151442E-11</v>
      </c>
      <c r="N760">
        <f t="shared" si="80"/>
        <v>0.99999999993668232</v>
      </c>
      <c r="O760">
        <f t="shared" si="81"/>
        <v>0.99999999993668232</v>
      </c>
      <c r="P760">
        <f t="shared" si="82"/>
        <v>-6.3317684430914184E-11</v>
      </c>
    </row>
    <row r="761" spans="1:16" x14ac:dyDescent="0.3">
      <c r="A761" s="2">
        <f t="shared" si="83"/>
        <v>757</v>
      </c>
      <c r="B761" s="2">
        <v>25</v>
      </c>
      <c r="C761" s="2">
        <v>0.8</v>
      </c>
      <c r="D761" s="2">
        <v>25</v>
      </c>
      <c r="E761" s="2">
        <v>1</v>
      </c>
      <c r="F761" s="2">
        <v>60</v>
      </c>
      <c r="G761" s="2">
        <v>1</v>
      </c>
      <c r="H761" s="2">
        <v>10</v>
      </c>
      <c r="I761" s="2">
        <v>0</v>
      </c>
      <c r="J761" s="2">
        <v>1</v>
      </c>
      <c r="K761">
        <f t="shared" si="77"/>
        <v>12.886118939701717</v>
      </c>
      <c r="L761">
        <f t="shared" si="78"/>
        <v>39.100243153110959</v>
      </c>
      <c r="M761">
        <f t="shared" si="79"/>
        <v>4.1243024502407345E-12</v>
      </c>
      <c r="N761">
        <f t="shared" si="80"/>
        <v>0.99999999999587563</v>
      </c>
      <c r="O761">
        <f t="shared" si="81"/>
        <v>0.99999999999587563</v>
      </c>
      <c r="P761">
        <f t="shared" si="82"/>
        <v>-4.1243675141884993E-12</v>
      </c>
    </row>
    <row r="762" spans="1:16" x14ac:dyDescent="0.3">
      <c r="A762" s="2">
        <f t="shared" si="83"/>
        <v>758</v>
      </c>
      <c r="B762" s="2">
        <v>25</v>
      </c>
      <c r="C762" s="2">
        <v>0.4</v>
      </c>
      <c r="D762" s="2">
        <v>15</v>
      </c>
      <c r="E762" s="2">
        <v>1</v>
      </c>
      <c r="F762" s="2">
        <v>60</v>
      </c>
      <c r="G762" s="2">
        <v>1</v>
      </c>
      <c r="H762" s="2">
        <v>10</v>
      </c>
      <c r="I762" s="2">
        <v>0</v>
      </c>
      <c r="J762" s="2">
        <v>1</v>
      </c>
      <c r="K762">
        <f t="shared" si="77"/>
        <v>12.886118939701717</v>
      </c>
      <c r="L762">
        <f t="shared" si="78"/>
        <v>28.51668169601195</v>
      </c>
      <c r="M762">
        <f t="shared" si="79"/>
        <v>1.6282938222914318E-7</v>
      </c>
      <c r="N762">
        <f t="shared" si="80"/>
        <v>0.99999983717061769</v>
      </c>
      <c r="O762">
        <f t="shared" si="81"/>
        <v>0.99999983717061769</v>
      </c>
      <c r="P762">
        <f t="shared" si="82"/>
        <v>-1.6282939556753043E-7</v>
      </c>
    </row>
    <row r="763" spans="1:16" x14ac:dyDescent="0.3">
      <c r="A763" s="2">
        <f t="shared" si="83"/>
        <v>759</v>
      </c>
      <c r="B763" s="2">
        <v>20</v>
      </c>
      <c r="C763" s="2">
        <v>0.6</v>
      </c>
      <c r="D763" s="2">
        <v>15</v>
      </c>
      <c r="E763" s="2">
        <v>1</v>
      </c>
      <c r="F763" s="2">
        <v>45</v>
      </c>
      <c r="G763" s="2">
        <v>0.9</v>
      </c>
      <c r="H763" s="2">
        <v>40</v>
      </c>
      <c r="I763" s="2">
        <v>1</v>
      </c>
      <c r="J763" s="2">
        <v>0</v>
      </c>
      <c r="K763">
        <f t="shared" si="77"/>
        <v>70.645135767118376</v>
      </c>
      <c r="L763">
        <f t="shared" si="78"/>
        <v>23.651284866254684</v>
      </c>
      <c r="M763">
        <f t="shared" si="79"/>
        <v>1</v>
      </c>
      <c r="N763">
        <f t="shared" si="80"/>
        <v>3.8978926151883366E-21</v>
      </c>
      <c r="O763">
        <f t="shared" si="81"/>
        <v>1</v>
      </c>
      <c r="P763">
        <f t="shared" si="82"/>
        <v>0</v>
      </c>
    </row>
    <row r="764" spans="1:16" x14ac:dyDescent="0.3">
      <c r="A764" s="2">
        <f t="shared" si="83"/>
        <v>760</v>
      </c>
      <c r="B764" s="2">
        <v>25</v>
      </c>
      <c r="C764" s="2">
        <v>0.8</v>
      </c>
      <c r="D764" s="2">
        <v>25</v>
      </c>
      <c r="E764" s="2">
        <v>1</v>
      </c>
      <c r="F764" s="2">
        <v>45</v>
      </c>
      <c r="G764" s="2">
        <v>1</v>
      </c>
      <c r="H764" s="2">
        <v>20</v>
      </c>
      <c r="I764" s="2">
        <v>0</v>
      </c>
      <c r="J764" s="2">
        <v>1</v>
      </c>
      <c r="K764">
        <f t="shared" si="77"/>
        <v>30.396677050700724</v>
      </c>
      <c r="L764">
        <f t="shared" si="78"/>
        <v>39.100243153110959</v>
      </c>
      <c r="M764">
        <f t="shared" si="79"/>
        <v>1.6596525787162996E-4</v>
      </c>
      <c r="N764">
        <f t="shared" si="80"/>
        <v>0.9998340347421284</v>
      </c>
      <c r="O764">
        <f t="shared" si="81"/>
        <v>0.9998340347421284</v>
      </c>
      <c r="P764">
        <f t="shared" si="82"/>
        <v>-1.6597903162901117E-4</v>
      </c>
    </row>
    <row r="765" spans="1:16" x14ac:dyDescent="0.3">
      <c r="A765" s="2">
        <f t="shared" si="83"/>
        <v>761</v>
      </c>
      <c r="B765" s="2">
        <v>15</v>
      </c>
      <c r="C765" s="2">
        <v>0.6</v>
      </c>
      <c r="D765" s="2">
        <v>20</v>
      </c>
      <c r="E765" s="2">
        <v>1</v>
      </c>
      <c r="F765" s="2">
        <v>45</v>
      </c>
      <c r="G765" s="2">
        <v>1</v>
      </c>
      <c r="H765" s="2">
        <v>40</v>
      </c>
      <c r="I765" s="2">
        <v>1</v>
      </c>
      <c r="J765" s="2">
        <v>0</v>
      </c>
      <c r="K765">
        <f t="shared" si="77"/>
        <v>69.229712134530658</v>
      </c>
      <c r="L765">
        <f t="shared" si="78"/>
        <v>31.176773465791396</v>
      </c>
      <c r="M765">
        <f t="shared" si="79"/>
        <v>1</v>
      </c>
      <c r="N765">
        <f t="shared" si="80"/>
        <v>2.977273390837295E-17</v>
      </c>
      <c r="O765">
        <f t="shared" si="81"/>
        <v>1</v>
      </c>
      <c r="P765">
        <f t="shared" si="82"/>
        <v>0</v>
      </c>
    </row>
    <row r="766" spans="1:16" x14ac:dyDescent="0.3">
      <c r="A766" s="2">
        <f t="shared" si="83"/>
        <v>762</v>
      </c>
      <c r="B766" s="2">
        <v>15</v>
      </c>
      <c r="C766" s="2">
        <v>0.4</v>
      </c>
      <c r="D766" s="2">
        <v>20</v>
      </c>
      <c r="E766" s="2">
        <v>1</v>
      </c>
      <c r="F766" s="2">
        <v>60</v>
      </c>
      <c r="G766" s="2">
        <v>0.9</v>
      </c>
      <c r="H766" s="2">
        <v>10</v>
      </c>
      <c r="I766" s="2">
        <v>0</v>
      </c>
      <c r="J766" s="2">
        <v>1</v>
      </c>
      <c r="K766">
        <f t="shared" si="77"/>
        <v>14.301542572289428</v>
      </c>
      <c r="L766">
        <f t="shared" si="78"/>
        <v>34.72632581616363</v>
      </c>
      <c r="M766">
        <f t="shared" si="79"/>
        <v>1.3478120739085159E-9</v>
      </c>
      <c r="N766">
        <f t="shared" si="80"/>
        <v>0.99999999865218792</v>
      </c>
      <c r="O766">
        <f t="shared" si="81"/>
        <v>0.99999999865218792</v>
      </c>
      <c r="P766">
        <f t="shared" si="82"/>
        <v>-1.3478120850708683E-9</v>
      </c>
    </row>
    <row r="767" spans="1:16" x14ac:dyDescent="0.3">
      <c r="A767" s="2">
        <f t="shared" si="83"/>
        <v>763</v>
      </c>
      <c r="B767" s="2">
        <v>15</v>
      </c>
      <c r="C767" s="2">
        <v>0.6</v>
      </c>
      <c r="D767" s="2">
        <v>20</v>
      </c>
      <c r="E767" s="2">
        <v>1</v>
      </c>
      <c r="F767" s="2">
        <v>60</v>
      </c>
      <c r="G767" s="2">
        <v>0.8</v>
      </c>
      <c r="H767" s="2">
        <v>20</v>
      </c>
      <c r="I767" s="2">
        <v>1</v>
      </c>
      <c r="J767" s="2">
        <v>0</v>
      </c>
      <c r="K767">
        <f t="shared" si="77"/>
        <v>35.133483746792109</v>
      </c>
      <c r="L767">
        <f t="shared" si="78"/>
        <v>31.176773465791396</v>
      </c>
      <c r="M767">
        <f t="shared" si="79"/>
        <v>0.98123300635686272</v>
      </c>
      <c r="N767">
        <f t="shared" si="80"/>
        <v>1.8766993643137209E-2</v>
      </c>
      <c r="O767">
        <f t="shared" si="81"/>
        <v>0.98123300635686272</v>
      </c>
      <c r="P767">
        <f t="shared" si="82"/>
        <v>-1.8945328397916326E-2</v>
      </c>
    </row>
    <row r="768" spans="1:16" x14ac:dyDescent="0.3">
      <c r="A768" s="2">
        <f t="shared" si="83"/>
        <v>764</v>
      </c>
      <c r="B768" s="2">
        <v>15</v>
      </c>
      <c r="C768" s="2">
        <v>0.4</v>
      </c>
      <c r="D768" s="2">
        <v>25</v>
      </c>
      <c r="E768" s="2">
        <v>1</v>
      </c>
      <c r="F768" s="2">
        <v>60</v>
      </c>
      <c r="G768" s="2">
        <v>1</v>
      </c>
      <c r="H768" s="2">
        <v>10</v>
      </c>
      <c r="I768" s="2">
        <v>0</v>
      </c>
      <c r="J768" s="2">
        <v>1</v>
      </c>
      <c r="K768">
        <f t="shared" si="77"/>
        <v>12.886118939701717</v>
      </c>
      <c r="L768">
        <f t="shared" si="78"/>
        <v>43.567658895085373</v>
      </c>
      <c r="M768">
        <f t="shared" si="79"/>
        <v>4.7334359085888969E-14</v>
      </c>
      <c r="N768">
        <f t="shared" si="80"/>
        <v>0.99999999999995259</v>
      </c>
      <c r="O768">
        <f t="shared" si="81"/>
        <v>0.99999999999995259</v>
      </c>
      <c r="P768">
        <f t="shared" si="82"/>
        <v>-4.7406523151495308E-14</v>
      </c>
    </row>
    <row r="769" spans="1:16" x14ac:dyDescent="0.3">
      <c r="A769" s="2">
        <f t="shared" si="83"/>
        <v>765</v>
      </c>
      <c r="B769" s="2">
        <v>20</v>
      </c>
      <c r="C769" s="2">
        <v>0.6</v>
      </c>
      <c r="D769" s="2">
        <v>15</v>
      </c>
      <c r="E769" s="2">
        <v>1</v>
      </c>
      <c r="F769" s="2">
        <v>60</v>
      </c>
      <c r="G769" s="2">
        <v>0.9</v>
      </c>
      <c r="H769" s="2">
        <v>10</v>
      </c>
      <c r="I769" s="2">
        <v>0</v>
      </c>
      <c r="J769" s="2">
        <v>1</v>
      </c>
      <c r="K769">
        <f t="shared" si="77"/>
        <v>14.301542572289428</v>
      </c>
      <c r="L769">
        <f t="shared" si="78"/>
        <v>23.651284866254684</v>
      </c>
      <c r="M769">
        <f t="shared" si="79"/>
        <v>8.6980267270749949E-5</v>
      </c>
      <c r="N769">
        <f t="shared" si="80"/>
        <v>0.99991301973272928</v>
      </c>
      <c r="O769">
        <f t="shared" si="81"/>
        <v>0.99991301973272928</v>
      </c>
      <c r="P769">
        <f t="shared" si="82"/>
        <v>-8.6984050273533064E-5</v>
      </c>
    </row>
    <row r="770" spans="1:16" x14ac:dyDescent="0.3">
      <c r="A770" s="2">
        <f t="shared" si="83"/>
        <v>766</v>
      </c>
      <c r="B770" s="2">
        <v>15</v>
      </c>
      <c r="C770" s="2">
        <v>0.4</v>
      </c>
      <c r="D770" s="2">
        <v>15</v>
      </c>
      <c r="E770" s="2">
        <v>1</v>
      </c>
      <c r="F770" s="2">
        <v>45</v>
      </c>
      <c r="G770" s="2">
        <v>1</v>
      </c>
      <c r="H770" s="2">
        <v>10</v>
      </c>
      <c r="I770" s="2">
        <v>0</v>
      </c>
      <c r="J770" s="2">
        <v>1</v>
      </c>
      <c r="K770">
        <f t="shared" si="77"/>
        <v>10.980159508785752</v>
      </c>
      <c r="L770">
        <f t="shared" si="78"/>
        <v>25.884992737241895</v>
      </c>
      <c r="M770">
        <f t="shared" si="79"/>
        <v>3.364441870056331E-7</v>
      </c>
      <c r="N770">
        <f t="shared" si="80"/>
        <v>0.99999966355581305</v>
      </c>
      <c r="O770">
        <f t="shared" si="81"/>
        <v>0.99999966355581305</v>
      </c>
      <c r="P770">
        <f t="shared" si="82"/>
        <v>-3.3644424355202344E-7</v>
      </c>
    </row>
    <row r="771" spans="1:16" x14ac:dyDescent="0.3">
      <c r="A771" s="2">
        <f t="shared" si="83"/>
        <v>767</v>
      </c>
      <c r="B771" s="2">
        <v>25</v>
      </c>
      <c r="C771" s="2">
        <v>0.4</v>
      </c>
      <c r="D771" s="2">
        <v>15</v>
      </c>
      <c r="E771" s="2">
        <v>1</v>
      </c>
      <c r="F771" s="2">
        <v>45</v>
      </c>
      <c r="G771" s="2">
        <v>1</v>
      </c>
      <c r="H771" s="2">
        <v>20</v>
      </c>
      <c r="I771" s="2">
        <v>1</v>
      </c>
      <c r="J771" s="2">
        <v>0</v>
      </c>
      <c r="K771">
        <f t="shared" si="77"/>
        <v>30.396677050700724</v>
      </c>
      <c r="L771">
        <f t="shared" si="78"/>
        <v>28.51668169601195</v>
      </c>
      <c r="M771">
        <f t="shared" si="79"/>
        <v>0.86761059288700815</v>
      </c>
      <c r="N771">
        <f t="shared" si="80"/>
        <v>0.13238940711299202</v>
      </c>
      <c r="O771">
        <f t="shared" si="81"/>
        <v>0.86761059288700815</v>
      </c>
      <c r="P771">
        <f t="shared" si="82"/>
        <v>-0.14201229069061852</v>
      </c>
    </row>
    <row r="772" spans="1:16" x14ac:dyDescent="0.3">
      <c r="A772" s="2">
        <f t="shared" si="83"/>
        <v>768</v>
      </c>
      <c r="B772" s="2">
        <v>15</v>
      </c>
      <c r="C772" s="2">
        <v>0.4</v>
      </c>
      <c r="D772" s="2">
        <v>15</v>
      </c>
      <c r="E772" s="2">
        <v>1</v>
      </c>
      <c r="F772" s="2">
        <v>90</v>
      </c>
      <c r="G772" s="2">
        <v>1</v>
      </c>
      <c r="H772" s="2">
        <v>40</v>
      </c>
      <c r="I772" s="2">
        <v>1</v>
      </c>
      <c r="J772" s="2">
        <v>0</v>
      </c>
      <c r="K772">
        <f t="shared" si="77"/>
        <v>74.947590427278556</v>
      </c>
      <c r="L772">
        <f t="shared" si="78"/>
        <v>25.884992737241895</v>
      </c>
      <c r="M772">
        <f t="shared" si="79"/>
        <v>1</v>
      </c>
      <c r="N772">
        <f t="shared" si="80"/>
        <v>4.9247541560870045E-22</v>
      </c>
      <c r="O772">
        <f t="shared" si="81"/>
        <v>1</v>
      </c>
      <c r="P772">
        <f t="shared" si="82"/>
        <v>0</v>
      </c>
    </row>
    <row r="773" spans="1:16" x14ac:dyDescent="0.3">
      <c r="A773" s="2">
        <f t="shared" si="83"/>
        <v>769</v>
      </c>
      <c r="B773" s="2">
        <v>25</v>
      </c>
      <c r="C773" s="2">
        <v>0.6</v>
      </c>
      <c r="D773" s="2">
        <v>20</v>
      </c>
      <c r="E773" s="2">
        <v>1</v>
      </c>
      <c r="F773" s="2">
        <v>60</v>
      </c>
      <c r="G773" s="2">
        <v>1</v>
      </c>
      <c r="H773" s="2">
        <v>20</v>
      </c>
      <c r="I773" s="2">
        <v>0</v>
      </c>
      <c r="J773" s="2">
        <v>1</v>
      </c>
      <c r="K773">
        <f t="shared" si="77"/>
        <v>32.302636481616688</v>
      </c>
      <c r="L773">
        <f t="shared" si="78"/>
        <v>33.808462424561448</v>
      </c>
      <c r="M773">
        <f t="shared" si="79"/>
        <v>0.18155821221390714</v>
      </c>
      <c r="N773">
        <f t="shared" si="80"/>
        <v>0.81844178778609278</v>
      </c>
      <c r="O773">
        <f t="shared" si="81"/>
        <v>0.81844178778609278</v>
      </c>
      <c r="P773">
        <f t="shared" si="82"/>
        <v>-0.2003530053035672</v>
      </c>
    </row>
    <row r="774" spans="1:16" x14ac:dyDescent="0.3">
      <c r="A774" s="2">
        <f t="shared" si="83"/>
        <v>770</v>
      </c>
      <c r="B774" s="2">
        <v>25</v>
      </c>
      <c r="C774" s="2">
        <v>0.6</v>
      </c>
      <c r="D774" s="2">
        <v>15</v>
      </c>
      <c r="E774" s="2">
        <v>1</v>
      </c>
      <c r="F774" s="2">
        <v>60</v>
      </c>
      <c r="G774" s="2">
        <v>0.8</v>
      </c>
      <c r="H774" s="2">
        <v>20</v>
      </c>
      <c r="I774" s="2">
        <v>1</v>
      </c>
      <c r="J774" s="2">
        <v>0</v>
      </c>
      <c r="K774">
        <f t="shared" ref="K774:K837" si="84">$F$3*F774+$G$3*G774+$H$3*H774</f>
        <v>35.133483746792109</v>
      </c>
      <c r="L774">
        <f t="shared" ref="L774:L837" si="85">$B$3*B774+$C$3*C774+$D$3*D774+$E$3*E774</f>
        <v>24.967129345639712</v>
      </c>
      <c r="M774">
        <f t="shared" ref="M774:M837" si="86">EXP(K774)/(EXP(K774)+EXP(L774))</f>
        <v>0.9999615592645883</v>
      </c>
      <c r="N774">
        <f t="shared" ref="N774:N837" si="87">EXP(L774)/(EXP(L774)+EXP(K774))</f>
        <v>3.8440735411727647E-5</v>
      </c>
      <c r="O774">
        <f t="shared" ref="O774:O837" si="88">I774*M774+J774*N774</f>
        <v>0.9999615592645883</v>
      </c>
      <c r="P774">
        <f t="shared" ref="P774:P837" si="89">LN(O774)</f>
        <v>-3.8441474275708991E-5</v>
      </c>
    </row>
    <row r="775" spans="1:16" x14ac:dyDescent="0.3">
      <c r="A775" s="2">
        <f t="shared" ref="A775:A838" si="90">A774+1</f>
        <v>771</v>
      </c>
      <c r="B775" s="2">
        <v>20</v>
      </c>
      <c r="C775" s="2">
        <v>0.4</v>
      </c>
      <c r="D775" s="2">
        <v>20</v>
      </c>
      <c r="E775" s="2">
        <v>1</v>
      </c>
      <c r="F775" s="2">
        <v>90</v>
      </c>
      <c r="G775" s="2">
        <v>0.8</v>
      </c>
      <c r="H775" s="2">
        <v>10</v>
      </c>
      <c r="I775" s="2">
        <v>0</v>
      </c>
      <c r="J775" s="2">
        <v>1</v>
      </c>
      <c r="K775">
        <f t="shared" si="84"/>
        <v>19.528885066709069</v>
      </c>
      <c r="L775">
        <f t="shared" si="85"/>
        <v>36.042170295548658</v>
      </c>
      <c r="M775">
        <f t="shared" si="86"/>
        <v>6.7355229115229045E-8</v>
      </c>
      <c r="N775">
        <f t="shared" si="87"/>
        <v>0.99999993264477094</v>
      </c>
      <c r="O775">
        <f t="shared" si="88"/>
        <v>0.99999993264477094</v>
      </c>
      <c r="P775">
        <f t="shared" si="89"/>
        <v>-6.7355231329236083E-8</v>
      </c>
    </row>
    <row r="776" spans="1:16" x14ac:dyDescent="0.3">
      <c r="A776" s="2">
        <f t="shared" si="90"/>
        <v>772</v>
      </c>
      <c r="B776" s="2">
        <v>15</v>
      </c>
      <c r="C776" s="2">
        <v>0.4</v>
      </c>
      <c r="D776" s="2">
        <v>15</v>
      </c>
      <c r="E776" s="2">
        <v>1</v>
      </c>
      <c r="F776" s="2">
        <v>90</v>
      </c>
      <c r="G776" s="2">
        <v>1</v>
      </c>
      <c r="H776" s="2">
        <v>10</v>
      </c>
      <c r="I776" s="2">
        <v>0</v>
      </c>
      <c r="J776" s="2">
        <v>1</v>
      </c>
      <c r="K776">
        <f t="shared" si="84"/>
        <v>16.698037801533648</v>
      </c>
      <c r="L776">
        <f t="shared" si="85"/>
        <v>25.884992737241895</v>
      </c>
      <c r="M776">
        <f t="shared" si="86"/>
        <v>1.0235562421392558E-4</v>
      </c>
      <c r="N776">
        <f t="shared" si="87"/>
        <v>0.9998976443757861</v>
      </c>
      <c r="O776">
        <f t="shared" si="88"/>
        <v>0.9998976443757861</v>
      </c>
      <c r="P776">
        <f t="shared" si="89"/>
        <v>-1.0236086290828159E-4</v>
      </c>
    </row>
    <row r="777" spans="1:16" x14ac:dyDescent="0.3">
      <c r="A777" s="2">
        <f t="shared" si="90"/>
        <v>773</v>
      </c>
      <c r="B777" s="2">
        <v>25</v>
      </c>
      <c r="C777" s="2">
        <v>0.8</v>
      </c>
      <c r="D777" s="2">
        <v>20</v>
      </c>
      <c r="E777" s="2">
        <v>1</v>
      </c>
      <c r="F777" s="2">
        <v>90</v>
      </c>
      <c r="G777" s="2">
        <v>0.8</v>
      </c>
      <c r="H777" s="2">
        <v>10</v>
      </c>
      <c r="I777" s="2">
        <v>0</v>
      </c>
      <c r="J777" s="2">
        <v>1</v>
      </c>
      <c r="K777">
        <f t="shared" si="84"/>
        <v>19.528885066709069</v>
      </c>
      <c r="L777">
        <f t="shared" si="85"/>
        <v>30.258910074189213</v>
      </c>
      <c r="M777">
        <f t="shared" si="86"/>
        <v>2.1877608539106527E-5</v>
      </c>
      <c r="N777">
        <f t="shared" si="87"/>
        <v>0.99997812239146089</v>
      </c>
      <c r="O777">
        <f t="shared" si="88"/>
        <v>0.99997812239146089</v>
      </c>
      <c r="P777">
        <f t="shared" si="89"/>
        <v>-2.1877847857479646E-5</v>
      </c>
    </row>
    <row r="778" spans="1:16" x14ac:dyDescent="0.3">
      <c r="A778" s="2">
        <f t="shared" si="90"/>
        <v>774</v>
      </c>
      <c r="B778" s="2">
        <v>15</v>
      </c>
      <c r="C778" s="2">
        <v>0.6</v>
      </c>
      <c r="D778" s="2">
        <v>15</v>
      </c>
      <c r="E778" s="2">
        <v>1</v>
      </c>
      <c r="F778" s="2">
        <v>60</v>
      </c>
      <c r="G778" s="2">
        <v>0.8</v>
      </c>
      <c r="H778" s="2">
        <v>20</v>
      </c>
      <c r="I778" s="2">
        <v>1</v>
      </c>
      <c r="J778" s="2">
        <v>0</v>
      </c>
      <c r="K778">
        <f t="shared" si="84"/>
        <v>35.133483746792109</v>
      </c>
      <c r="L778">
        <f t="shared" si="85"/>
        <v>22.335440386869656</v>
      </c>
      <c r="M778">
        <f t="shared" si="86"/>
        <v>0.99999723382795325</v>
      </c>
      <c r="N778">
        <f t="shared" si="87"/>
        <v>2.7661720467427559E-6</v>
      </c>
      <c r="O778">
        <f t="shared" si="88"/>
        <v>0.99999723382795325</v>
      </c>
      <c r="P778">
        <f t="shared" si="89"/>
        <v>-2.7661758726140642E-6</v>
      </c>
    </row>
    <row r="779" spans="1:16" x14ac:dyDescent="0.3">
      <c r="A779" s="2">
        <f t="shared" si="90"/>
        <v>775</v>
      </c>
      <c r="B779" s="2">
        <v>15</v>
      </c>
      <c r="C779" s="2">
        <v>0.6</v>
      </c>
      <c r="D779" s="2">
        <v>20</v>
      </c>
      <c r="E779" s="2">
        <v>1</v>
      </c>
      <c r="F779" s="2">
        <v>45</v>
      </c>
      <c r="G779" s="2">
        <v>0.9</v>
      </c>
      <c r="H779" s="2">
        <v>40</v>
      </c>
      <c r="I779" s="2">
        <v>1</v>
      </c>
      <c r="J779" s="2">
        <v>0</v>
      </c>
      <c r="K779">
        <f t="shared" si="84"/>
        <v>70.645135767118376</v>
      </c>
      <c r="L779">
        <f t="shared" si="85"/>
        <v>31.176773465791396</v>
      </c>
      <c r="M779">
        <f t="shared" si="86"/>
        <v>1</v>
      </c>
      <c r="N779">
        <f t="shared" si="87"/>
        <v>7.2294963496803228E-18</v>
      </c>
      <c r="O779">
        <f t="shared" si="88"/>
        <v>1</v>
      </c>
      <c r="P779">
        <f t="shared" si="89"/>
        <v>0</v>
      </c>
    </row>
    <row r="780" spans="1:16" x14ac:dyDescent="0.3">
      <c r="A780" s="2">
        <f t="shared" si="90"/>
        <v>776</v>
      </c>
      <c r="B780" s="2">
        <v>25</v>
      </c>
      <c r="C780" s="2">
        <v>0.6</v>
      </c>
      <c r="D780" s="2">
        <v>15</v>
      </c>
      <c r="E780" s="2">
        <v>1</v>
      </c>
      <c r="F780" s="2">
        <v>45</v>
      </c>
      <c r="G780" s="2">
        <v>0.8</v>
      </c>
      <c r="H780" s="2">
        <v>20</v>
      </c>
      <c r="I780" s="2">
        <v>1</v>
      </c>
      <c r="J780" s="2">
        <v>0</v>
      </c>
      <c r="K780">
        <f t="shared" si="84"/>
        <v>33.227524315876146</v>
      </c>
      <c r="L780">
        <f t="shared" si="85"/>
        <v>24.967129345639712</v>
      </c>
      <c r="M780">
        <f t="shared" si="86"/>
        <v>0.99974150998557143</v>
      </c>
      <c r="N780">
        <f t="shared" si="87"/>
        <v>2.5849001442850776E-4</v>
      </c>
      <c r="O780">
        <f t="shared" si="88"/>
        <v>0.99974150998557143</v>
      </c>
      <c r="P780">
        <f t="shared" si="89"/>
        <v>-2.5852342873064889E-4</v>
      </c>
    </row>
    <row r="781" spans="1:16" x14ac:dyDescent="0.3">
      <c r="A781" s="2">
        <f t="shared" si="90"/>
        <v>777</v>
      </c>
      <c r="B781" s="2">
        <v>20</v>
      </c>
      <c r="C781" s="2">
        <v>0.6</v>
      </c>
      <c r="D781" s="2">
        <v>20</v>
      </c>
      <c r="E781" s="2">
        <v>1</v>
      </c>
      <c r="F781" s="2">
        <v>60</v>
      </c>
      <c r="G781" s="2">
        <v>0.9</v>
      </c>
      <c r="H781" s="2">
        <v>10</v>
      </c>
      <c r="I781" s="2">
        <v>0</v>
      </c>
      <c r="J781" s="2">
        <v>1</v>
      </c>
      <c r="K781">
        <f t="shared" si="84"/>
        <v>14.301542572289428</v>
      </c>
      <c r="L781">
        <f t="shared" si="85"/>
        <v>32.49261794517642</v>
      </c>
      <c r="M781">
        <f t="shared" si="86"/>
        <v>1.258103412109452E-8</v>
      </c>
      <c r="N781">
        <f t="shared" si="87"/>
        <v>0.9999999874189659</v>
      </c>
      <c r="O781">
        <f t="shared" si="88"/>
        <v>0.9999999874189659</v>
      </c>
      <c r="P781">
        <f t="shared" si="89"/>
        <v>-1.2581034182539491E-8</v>
      </c>
    </row>
    <row r="782" spans="1:16" x14ac:dyDescent="0.3">
      <c r="A782" s="2">
        <f t="shared" si="90"/>
        <v>778</v>
      </c>
      <c r="B782" s="2">
        <v>15</v>
      </c>
      <c r="C782" s="2">
        <v>0.4</v>
      </c>
      <c r="D782" s="2">
        <v>25</v>
      </c>
      <c r="E782" s="2">
        <v>1</v>
      </c>
      <c r="F782" s="2">
        <v>90</v>
      </c>
      <c r="G782" s="2">
        <v>1</v>
      </c>
      <c r="H782" s="2">
        <v>10</v>
      </c>
      <c r="I782" s="2">
        <v>0</v>
      </c>
      <c r="J782" s="2">
        <v>1</v>
      </c>
      <c r="K782">
        <f t="shared" si="84"/>
        <v>16.698037801533648</v>
      </c>
      <c r="L782">
        <f t="shared" si="85"/>
        <v>43.567658895085373</v>
      </c>
      <c r="M782">
        <f t="shared" si="86"/>
        <v>2.1412719516047362E-12</v>
      </c>
      <c r="N782">
        <f t="shared" si="87"/>
        <v>0.99999999999785871</v>
      </c>
      <c r="O782">
        <f t="shared" si="88"/>
        <v>0.99999999999785871</v>
      </c>
      <c r="P782">
        <f t="shared" si="89"/>
        <v>-2.1412871475968319E-12</v>
      </c>
    </row>
    <row r="783" spans="1:16" x14ac:dyDescent="0.3">
      <c r="A783" s="2">
        <f t="shared" si="90"/>
        <v>779</v>
      </c>
      <c r="B783" s="2">
        <v>25</v>
      </c>
      <c r="C783" s="2">
        <v>0.6</v>
      </c>
      <c r="D783" s="2">
        <v>25</v>
      </c>
      <c r="E783" s="2">
        <v>1</v>
      </c>
      <c r="F783" s="2">
        <v>90</v>
      </c>
      <c r="G783" s="2">
        <v>0.9</v>
      </c>
      <c r="H783" s="2">
        <v>10</v>
      </c>
      <c r="I783" s="2">
        <v>0</v>
      </c>
      <c r="J783" s="2">
        <v>1</v>
      </c>
      <c r="K783">
        <f t="shared" si="84"/>
        <v>18.113461434121358</v>
      </c>
      <c r="L783">
        <f t="shared" si="85"/>
        <v>42.649795503483197</v>
      </c>
      <c r="M783">
        <f t="shared" si="86"/>
        <v>2.2080327341423445E-11</v>
      </c>
      <c r="N783">
        <f t="shared" si="87"/>
        <v>0.99999999997791966</v>
      </c>
      <c r="O783">
        <f t="shared" si="88"/>
        <v>0.99999999997791966</v>
      </c>
      <c r="P783">
        <f t="shared" si="89"/>
        <v>-2.2080337558593808E-11</v>
      </c>
    </row>
    <row r="784" spans="1:16" x14ac:dyDescent="0.3">
      <c r="A784" s="2">
        <f t="shared" si="90"/>
        <v>780</v>
      </c>
      <c r="B784" s="2">
        <v>25</v>
      </c>
      <c r="C784" s="2">
        <v>0.8</v>
      </c>
      <c r="D784" s="2">
        <v>15</v>
      </c>
      <c r="E784" s="2">
        <v>1</v>
      </c>
      <c r="F784" s="2">
        <v>90</v>
      </c>
      <c r="G784" s="2">
        <v>0.8</v>
      </c>
      <c r="H784" s="2">
        <v>10</v>
      </c>
      <c r="I784" s="2">
        <v>0</v>
      </c>
      <c r="J784" s="2">
        <v>1</v>
      </c>
      <c r="K784">
        <f t="shared" si="84"/>
        <v>19.528885066709069</v>
      </c>
      <c r="L784">
        <f t="shared" si="85"/>
        <v>21.417576995267474</v>
      </c>
      <c r="M784">
        <f t="shared" si="86"/>
        <v>0.13139368686042902</v>
      </c>
      <c r="N784">
        <f t="shared" si="87"/>
        <v>0.86860631313957104</v>
      </c>
      <c r="O784">
        <f t="shared" si="88"/>
        <v>0.86860631313957104</v>
      </c>
      <c r="P784">
        <f t="shared" si="89"/>
        <v>-0.14086529072964415</v>
      </c>
    </row>
    <row r="785" spans="1:16" x14ac:dyDescent="0.3">
      <c r="A785" s="2">
        <f t="shared" si="90"/>
        <v>781</v>
      </c>
      <c r="B785" s="2">
        <v>20</v>
      </c>
      <c r="C785" s="2">
        <v>0.6</v>
      </c>
      <c r="D785" s="2">
        <v>25</v>
      </c>
      <c r="E785" s="2">
        <v>1</v>
      </c>
      <c r="F785" s="2">
        <v>90</v>
      </c>
      <c r="G785" s="2">
        <v>0.8</v>
      </c>
      <c r="H785" s="2">
        <v>20</v>
      </c>
      <c r="I785" s="2">
        <v>0</v>
      </c>
      <c r="J785" s="2">
        <v>1</v>
      </c>
      <c r="K785">
        <f t="shared" si="84"/>
        <v>38.945402608624036</v>
      </c>
      <c r="L785">
        <f t="shared" si="85"/>
        <v>41.33395102409817</v>
      </c>
      <c r="M785">
        <f t="shared" si="86"/>
        <v>8.4050115686538321E-2</v>
      </c>
      <c r="N785">
        <f t="shared" si="87"/>
        <v>0.91594988431346169</v>
      </c>
      <c r="O785">
        <f t="shared" si="88"/>
        <v>0.91594988431346169</v>
      </c>
      <c r="P785">
        <f t="shared" si="89"/>
        <v>-8.7793627252918588E-2</v>
      </c>
    </row>
    <row r="786" spans="1:16" x14ac:dyDescent="0.3">
      <c r="A786" s="2">
        <f t="shared" si="90"/>
        <v>782</v>
      </c>
      <c r="B786" s="2">
        <v>25</v>
      </c>
      <c r="C786" s="2">
        <v>0.6</v>
      </c>
      <c r="D786" s="2">
        <v>20</v>
      </c>
      <c r="E786" s="2">
        <v>1</v>
      </c>
      <c r="F786" s="2">
        <v>60</v>
      </c>
      <c r="G786" s="2">
        <v>0.9</v>
      </c>
      <c r="H786" s="2">
        <v>20</v>
      </c>
      <c r="I786" s="2">
        <v>0</v>
      </c>
      <c r="J786" s="2">
        <v>1</v>
      </c>
      <c r="K786">
        <f t="shared" si="84"/>
        <v>33.718060114204398</v>
      </c>
      <c r="L786">
        <f t="shared" si="85"/>
        <v>33.808462424561448</v>
      </c>
      <c r="M786">
        <f t="shared" si="86"/>
        <v>0.47741480192323521</v>
      </c>
      <c r="N786">
        <f t="shared" si="87"/>
        <v>0.52258519807676473</v>
      </c>
      <c r="O786">
        <f t="shared" si="88"/>
        <v>0.52258519807676473</v>
      </c>
      <c r="P786">
        <f t="shared" si="89"/>
        <v>-0.64896724991564259</v>
      </c>
    </row>
    <row r="787" spans="1:16" x14ac:dyDescent="0.3">
      <c r="A787" s="2">
        <f t="shared" si="90"/>
        <v>783</v>
      </c>
      <c r="B787" s="2">
        <v>15</v>
      </c>
      <c r="C787" s="2">
        <v>0.8</v>
      </c>
      <c r="D787" s="2">
        <v>20</v>
      </c>
      <c r="E787" s="2">
        <v>1</v>
      </c>
      <c r="F787" s="2">
        <v>90</v>
      </c>
      <c r="G787" s="2">
        <v>0.9</v>
      </c>
      <c r="H787" s="2">
        <v>40</v>
      </c>
      <c r="I787" s="2">
        <v>1</v>
      </c>
      <c r="J787" s="2">
        <v>0</v>
      </c>
      <c r="K787">
        <f t="shared" si="84"/>
        <v>76.363014059866273</v>
      </c>
      <c r="L787">
        <f t="shared" si="85"/>
        <v>27.627221115419157</v>
      </c>
      <c r="M787">
        <f t="shared" si="86"/>
        <v>1</v>
      </c>
      <c r="N787">
        <f t="shared" si="87"/>
        <v>6.828322948068731E-22</v>
      </c>
      <c r="O787">
        <f t="shared" si="88"/>
        <v>1</v>
      </c>
      <c r="P787">
        <f t="shared" si="89"/>
        <v>0</v>
      </c>
    </row>
    <row r="788" spans="1:16" x14ac:dyDescent="0.3">
      <c r="A788" s="2">
        <f t="shared" si="90"/>
        <v>784</v>
      </c>
      <c r="B788" s="2">
        <v>15</v>
      </c>
      <c r="C788" s="2">
        <v>0.4</v>
      </c>
      <c r="D788" s="2">
        <v>20</v>
      </c>
      <c r="E788" s="2">
        <v>1</v>
      </c>
      <c r="F788" s="2">
        <v>60</v>
      </c>
      <c r="G788" s="2">
        <v>0.8</v>
      </c>
      <c r="H788" s="2">
        <v>40</v>
      </c>
      <c r="I788" s="2">
        <v>1</v>
      </c>
      <c r="J788" s="2">
        <v>0</v>
      </c>
      <c r="K788">
        <f t="shared" si="84"/>
        <v>73.96651883062205</v>
      </c>
      <c r="L788">
        <f t="shared" si="85"/>
        <v>34.72632581616363</v>
      </c>
      <c r="M788">
        <f t="shared" si="86"/>
        <v>1</v>
      </c>
      <c r="N788">
        <f t="shared" si="87"/>
        <v>9.0824016763043514E-18</v>
      </c>
      <c r="O788">
        <f t="shared" si="88"/>
        <v>1</v>
      </c>
      <c r="P788">
        <f t="shared" si="89"/>
        <v>0</v>
      </c>
    </row>
    <row r="789" spans="1:16" x14ac:dyDescent="0.3">
      <c r="A789" s="2">
        <f t="shared" si="90"/>
        <v>785</v>
      </c>
      <c r="B789" s="2">
        <v>20</v>
      </c>
      <c r="C789" s="2">
        <v>0.8</v>
      </c>
      <c r="D789" s="2">
        <v>25</v>
      </c>
      <c r="E789" s="2">
        <v>1</v>
      </c>
      <c r="F789" s="2">
        <v>45</v>
      </c>
      <c r="G789" s="2">
        <v>0.8</v>
      </c>
      <c r="H789" s="2">
        <v>40</v>
      </c>
      <c r="I789" s="2">
        <v>1</v>
      </c>
      <c r="J789" s="2">
        <v>0</v>
      </c>
      <c r="K789">
        <f t="shared" si="84"/>
        <v>72.060559399706079</v>
      </c>
      <c r="L789">
        <f t="shared" si="85"/>
        <v>37.784398673725924</v>
      </c>
      <c r="M789">
        <f t="shared" si="86"/>
        <v>0.99999999999999878</v>
      </c>
      <c r="N789">
        <f t="shared" si="87"/>
        <v>1.3003268668881249E-15</v>
      </c>
      <c r="O789">
        <f t="shared" si="88"/>
        <v>0.99999999999999878</v>
      </c>
      <c r="P789">
        <f t="shared" si="89"/>
        <v>-1.221245327087673E-15</v>
      </c>
    </row>
    <row r="790" spans="1:16" x14ac:dyDescent="0.3">
      <c r="A790" s="2">
        <f t="shared" si="90"/>
        <v>786</v>
      </c>
      <c r="B790" s="2">
        <v>20</v>
      </c>
      <c r="C790" s="2">
        <v>0.4</v>
      </c>
      <c r="D790" s="2">
        <v>20</v>
      </c>
      <c r="E790" s="2">
        <v>1</v>
      </c>
      <c r="F790" s="2">
        <v>90</v>
      </c>
      <c r="G790" s="2">
        <v>1</v>
      </c>
      <c r="H790" s="2">
        <v>10</v>
      </c>
      <c r="I790" s="2">
        <v>0</v>
      </c>
      <c r="J790" s="2">
        <v>1</v>
      </c>
      <c r="K790">
        <f t="shared" si="84"/>
        <v>16.698037801533648</v>
      </c>
      <c r="L790">
        <f t="shared" si="85"/>
        <v>36.042170295548658</v>
      </c>
      <c r="M790">
        <f t="shared" si="86"/>
        <v>3.9714582274619936E-9</v>
      </c>
      <c r="N790">
        <f t="shared" si="87"/>
        <v>0.99999999602854184</v>
      </c>
      <c r="O790">
        <f t="shared" si="88"/>
        <v>0.99999999602854184</v>
      </c>
      <c r="P790">
        <f t="shared" si="89"/>
        <v>-3.971458170219148E-9</v>
      </c>
    </row>
    <row r="791" spans="1:16" x14ac:dyDescent="0.3">
      <c r="A791" s="2">
        <f t="shared" si="90"/>
        <v>787</v>
      </c>
      <c r="B791" s="2">
        <v>15</v>
      </c>
      <c r="C791" s="2">
        <v>0.6</v>
      </c>
      <c r="D791" s="2">
        <v>25</v>
      </c>
      <c r="E791" s="2">
        <v>1</v>
      </c>
      <c r="F791" s="2">
        <v>60</v>
      </c>
      <c r="G791" s="2">
        <v>1</v>
      </c>
      <c r="H791" s="2">
        <v>10</v>
      </c>
      <c r="I791" s="2">
        <v>0</v>
      </c>
      <c r="J791" s="2">
        <v>1</v>
      </c>
      <c r="K791">
        <f t="shared" si="84"/>
        <v>12.886118939701717</v>
      </c>
      <c r="L791">
        <f t="shared" si="85"/>
        <v>40.018106544713142</v>
      </c>
      <c r="M791">
        <f t="shared" si="86"/>
        <v>1.6471285693767754E-12</v>
      </c>
      <c r="N791">
        <f t="shared" si="87"/>
        <v>0.99999999999835287</v>
      </c>
      <c r="O791">
        <f t="shared" si="88"/>
        <v>0.99999999999835287</v>
      </c>
      <c r="P791">
        <f t="shared" si="89"/>
        <v>-1.6471268793352387E-12</v>
      </c>
    </row>
    <row r="792" spans="1:16" x14ac:dyDescent="0.3">
      <c r="A792" s="2">
        <f t="shared" si="90"/>
        <v>788</v>
      </c>
      <c r="B792" s="2">
        <v>15</v>
      </c>
      <c r="C792" s="2">
        <v>0.6</v>
      </c>
      <c r="D792" s="2">
        <v>20</v>
      </c>
      <c r="E792" s="2">
        <v>1</v>
      </c>
      <c r="F792" s="2">
        <v>45</v>
      </c>
      <c r="G792" s="2">
        <v>0.8</v>
      </c>
      <c r="H792" s="2">
        <v>10</v>
      </c>
      <c r="I792" s="2">
        <v>0</v>
      </c>
      <c r="J792" s="2">
        <v>1</v>
      </c>
      <c r="K792">
        <f t="shared" si="84"/>
        <v>13.811006773961173</v>
      </c>
      <c r="L792">
        <f t="shared" si="85"/>
        <v>31.176773465791396</v>
      </c>
      <c r="M792">
        <f t="shared" si="86"/>
        <v>2.8717282418707681E-8</v>
      </c>
      <c r="N792">
        <f t="shared" si="87"/>
        <v>0.99999997128271756</v>
      </c>
      <c r="O792">
        <f t="shared" si="88"/>
        <v>0.99999997128271756</v>
      </c>
      <c r="P792">
        <f t="shared" si="89"/>
        <v>-2.871728285325659E-8</v>
      </c>
    </row>
    <row r="793" spans="1:16" x14ac:dyDescent="0.3">
      <c r="A793" s="2">
        <f t="shared" si="90"/>
        <v>789</v>
      </c>
      <c r="B793" s="2">
        <v>15</v>
      </c>
      <c r="C793" s="2">
        <v>0.8</v>
      </c>
      <c r="D793" s="2">
        <v>15</v>
      </c>
      <c r="E793" s="2">
        <v>1</v>
      </c>
      <c r="F793" s="2">
        <v>60</v>
      </c>
      <c r="G793" s="2">
        <v>1</v>
      </c>
      <c r="H793" s="2">
        <v>20</v>
      </c>
      <c r="I793" s="2">
        <v>1</v>
      </c>
      <c r="J793" s="2">
        <v>0</v>
      </c>
      <c r="K793">
        <f t="shared" si="84"/>
        <v>32.302636481616688</v>
      </c>
      <c r="L793">
        <f t="shared" si="85"/>
        <v>18.785888036497418</v>
      </c>
      <c r="M793">
        <f t="shared" si="86"/>
        <v>0.99999865181294911</v>
      </c>
      <c r="N793">
        <f t="shared" si="87"/>
        <v>1.3481870508975802E-6</v>
      </c>
      <c r="O793">
        <f t="shared" si="88"/>
        <v>0.99999865181294911</v>
      </c>
      <c r="P793">
        <f t="shared" si="89"/>
        <v>-1.3481879596918854E-6</v>
      </c>
    </row>
    <row r="794" spans="1:16" x14ac:dyDescent="0.3">
      <c r="A794" s="2">
        <f t="shared" si="90"/>
        <v>790</v>
      </c>
      <c r="B794" s="2">
        <v>25</v>
      </c>
      <c r="C794" s="2">
        <v>0.4</v>
      </c>
      <c r="D794" s="2">
        <v>15</v>
      </c>
      <c r="E794" s="2">
        <v>1</v>
      </c>
      <c r="F794" s="2">
        <v>60</v>
      </c>
      <c r="G794" s="2">
        <v>1</v>
      </c>
      <c r="H794" s="2">
        <v>40</v>
      </c>
      <c r="I794" s="2">
        <v>1</v>
      </c>
      <c r="J794" s="2">
        <v>0</v>
      </c>
      <c r="K794">
        <f t="shared" si="84"/>
        <v>71.135671565446629</v>
      </c>
      <c r="L794">
        <f t="shared" si="85"/>
        <v>28.51668169601195</v>
      </c>
      <c r="M794">
        <f t="shared" si="86"/>
        <v>1</v>
      </c>
      <c r="N794">
        <f t="shared" si="87"/>
        <v>3.096049355973109E-19</v>
      </c>
      <c r="O794">
        <f t="shared" si="88"/>
        <v>1</v>
      </c>
      <c r="P794">
        <f t="shared" si="89"/>
        <v>0</v>
      </c>
    </row>
    <row r="795" spans="1:16" x14ac:dyDescent="0.3">
      <c r="A795" s="2">
        <f t="shared" si="90"/>
        <v>791</v>
      </c>
      <c r="B795" s="2">
        <v>20</v>
      </c>
      <c r="C795" s="2">
        <v>0.6</v>
      </c>
      <c r="D795" s="2">
        <v>20</v>
      </c>
      <c r="E795" s="2">
        <v>1</v>
      </c>
      <c r="F795" s="2">
        <v>45</v>
      </c>
      <c r="G795" s="2">
        <v>0.8</v>
      </c>
      <c r="H795" s="2">
        <v>10</v>
      </c>
      <c r="I795" s="2">
        <v>0</v>
      </c>
      <c r="J795" s="2">
        <v>1</v>
      </c>
      <c r="K795">
        <f t="shared" si="84"/>
        <v>13.811006773961173</v>
      </c>
      <c r="L795">
        <f t="shared" si="85"/>
        <v>32.49261794517642</v>
      </c>
      <c r="M795">
        <f t="shared" si="86"/>
        <v>7.7033450609711855E-9</v>
      </c>
      <c r="N795">
        <f t="shared" si="87"/>
        <v>0.99999999229665493</v>
      </c>
      <c r="O795">
        <f t="shared" si="88"/>
        <v>0.99999999229665493</v>
      </c>
      <c r="P795">
        <f t="shared" si="89"/>
        <v>-7.7033451026110009E-9</v>
      </c>
    </row>
    <row r="796" spans="1:16" x14ac:dyDescent="0.3">
      <c r="A796" s="2">
        <f t="shared" si="90"/>
        <v>792</v>
      </c>
      <c r="B796" s="2">
        <v>20</v>
      </c>
      <c r="C796" s="2">
        <v>0.6</v>
      </c>
      <c r="D796" s="2">
        <v>20</v>
      </c>
      <c r="E796" s="2">
        <v>1</v>
      </c>
      <c r="F796" s="2">
        <v>90</v>
      </c>
      <c r="G796" s="2">
        <v>0.9</v>
      </c>
      <c r="H796" s="2">
        <v>40</v>
      </c>
      <c r="I796" s="2">
        <v>1</v>
      </c>
      <c r="J796" s="2">
        <v>0</v>
      </c>
      <c r="K796">
        <f t="shared" si="84"/>
        <v>76.363014059866273</v>
      </c>
      <c r="L796">
        <f t="shared" si="85"/>
        <v>32.49261794517642</v>
      </c>
      <c r="M796">
        <f t="shared" si="86"/>
        <v>1</v>
      </c>
      <c r="N796">
        <f t="shared" si="87"/>
        <v>8.8578648252059022E-20</v>
      </c>
      <c r="O796">
        <f t="shared" si="88"/>
        <v>1</v>
      </c>
      <c r="P796">
        <f t="shared" si="89"/>
        <v>0</v>
      </c>
    </row>
    <row r="797" spans="1:16" x14ac:dyDescent="0.3">
      <c r="A797" s="2">
        <f t="shared" si="90"/>
        <v>793</v>
      </c>
      <c r="B797" s="2">
        <v>20</v>
      </c>
      <c r="C797" s="2">
        <v>0.8</v>
      </c>
      <c r="D797" s="2">
        <v>25</v>
      </c>
      <c r="E797" s="2">
        <v>1</v>
      </c>
      <c r="F797" s="2">
        <v>90</v>
      </c>
      <c r="G797" s="2">
        <v>0.8</v>
      </c>
      <c r="H797" s="2">
        <v>40</v>
      </c>
      <c r="I797" s="2">
        <v>1</v>
      </c>
      <c r="J797" s="2">
        <v>0</v>
      </c>
      <c r="K797">
        <f t="shared" si="84"/>
        <v>77.778437692453977</v>
      </c>
      <c r="L797">
        <f t="shared" si="85"/>
        <v>37.784398673725924</v>
      </c>
      <c r="M797">
        <f t="shared" si="86"/>
        <v>1</v>
      </c>
      <c r="N797">
        <f t="shared" si="87"/>
        <v>4.2737542446623822E-18</v>
      </c>
      <c r="O797">
        <f t="shared" si="88"/>
        <v>1</v>
      </c>
      <c r="P797">
        <f t="shared" si="89"/>
        <v>0</v>
      </c>
    </row>
    <row r="798" spans="1:16" x14ac:dyDescent="0.3">
      <c r="A798" s="2">
        <f t="shared" si="90"/>
        <v>794</v>
      </c>
      <c r="B798" s="2">
        <v>25</v>
      </c>
      <c r="C798" s="2">
        <v>0.4</v>
      </c>
      <c r="D798" s="2">
        <v>15</v>
      </c>
      <c r="E798" s="2">
        <v>1</v>
      </c>
      <c r="F798" s="2">
        <v>60</v>
      </c>
      <c r="G798" s="2">
        <v>0.9</v>
      </c>
      <c r="H798" s="2">
        <v>10</v>
      </c>
      <c r="I798" s="2">
        <v>0</v>
      </c>
      <c r="J798" s="2">
        <v>1</v>
      </c>
      <c r="K798">
        <f t="shared" si="84"/>
        <v>14.301542572289428</v>
      </c>
      <c r="L798">
        <f t="shared" si="85"/>
        <v>28.51668169601195</v>
      </c>
      <c r="M798">
        <f t="shared" si="86"/>
        <v>6.7056862243663096E-7</v>
      </c>
      <c r="N798">
        <f t="shared" si="87"/>
        <v>0.99999932943137759</v>
      </c>
      <c r="O798">
        <f t="shared" si="88"/>
        <v>0.99999932943137759</v>
      </c>
      <c r="P798">
        <f t="shared" si="89"/>
        <v>-6.7056884723856953E-7</v>
      </c>
    </row>
    <row r="799" spans="1:16" x14ac:dyDescent="0.3">
      <c r="A799" s="2">
        <f t="shared" si="90"/>
        <v>795</v>
      </c>
      <c r="B799" s="2">
        <v>15</v>
      </c>
      <c r="C799" s="2">
        <v>0.6</v>
      </c>
      <c r="D799" s="2">
        <v>20</v>
      </c>
      <c r="E799" s="2">
        <v>1</v>
      </c>
      <c r="F799" s="2">
        <v>60</v>
      </c>
      <c r="G799" s="2">
        <v>0.8</v>
      </c>
      <c r="H799" s="2">
        <v>10</v>
      </c>
      <c r="I799" s="2">
        <v>0</v>
      </c>
      <c r="J799" s="2">
        <v>1</v>
      </c>
      <c r="K799">
        <f t="shared" si="84"/>
        <v>15.716966204877139</v>
      </c>
      <c r="L799">
        <f t="shared" si="85"/>
        <v>31.176773465791396</v>
      </c>
      <c r="M799">
        <f t="shared" si="86"/>
        <v>1.9314831839929064E-7</v>
      </c>
      <c r="N799">
        <f t="shared" si="87"/>
        <v>0.99999980685168155</v>
      </c>
      <c r="O799">
        <f t="shared" si="88"/>
        <v>0.99999980685168155</v>
      </c>
      <c r="P799">
        <f t="shared" si="89"/>
        <v>-1.9314833710343687E-7</v>
      </c>
    </row>
    <row r="800" spans="1:16" x14ac:dyDescent="0.3">
      <c r="A800" s="2">
        <f t="shared" si="90"/>
        <v>796</v>
      </c>
      <c r="B800" s="2">
        <v>20</v>
      </c>
      <c r="C800" s="2">
        <v>0.8</v>
      </c>
      <c r="D800" s="2">
        <v>20</v>
      </c>
      <c r="E800" s="2">
        <v>1</v>
      </c>
      <c r="F800" s="2">
        <v>45</v>
      </c>
      <c r="G800" s="2">
        <v>0.8</v>
      </c>
      <c r="H800" s="2">
        <v>20</v>
      </c>
      <c r="I800" s="2">
        <v>1</v>
      </c>
      <c r="J800" s="2">
        <v>0</v>
      </c>
      <c r="K800">
        <f t="shared" si="84"/>
        <v>33.227524315876146</v>
      </c>
      <c r="L800">
        <f t="shared" si="85"/>
        <v>28.943065594804185</v>
      </c>
      <c r="M800">
        <f t="shared" si="86"/>
        <v>0.98640625752723721</v>
      </c>
      <c r="N800">
        <f t="shared" si="87"/>
        <v>1.3593742472762795E-2</v>
      </c>
      <c r="O800">
        <f t="shared" si="88"/>
        <v>0.98640625752723721</v>
      </c>
      <c r="P800">
        <f t="shared" si="89"/>
        <v>-1.3686983349166914E-2</v>
      </c>
    </row>
    <row r="801" spans="1:16" x14ac:dyDescent="0.3">
      <c r="A801" s="2">
        <f t="shared" si="90"/>
        <v>797</v>
      </c>
      <c r="B801" s="2">
        <v>25</v>
      </c>
      <c r="C801" s="2">
        <v>0.4</v>
      </c>
      <c r="D801" s="2">
        <v>15</v>
      </c>
      <c r="E801" s="2">
        <v>1</v>
      </c>
      <c r="F801" s="2">
        <v>90</v>
      </c>
      <c r="G801" s="2">
        <v>0.9</v>
      </c>
      <c r="H801" s="2">
        <v>40</v>
      </c>
      <c r="I801" s="2">
        <v>1</v>
      </c>
      <c r="J801" s="2">
        <v>0</v>
      </c>
      <c r="K801">
        <f t="shared" si="84"/>
        <v>76.363014059866273</v>
      </c>
      <c r="L801">
        <f t="shared" si="85"/>
        <v>28.51668169601195</v>
      </c>
      <c r="M801">
        <f t="shared" si="86"/>
        <v>1</v>
      </c>
      <c r="N801">
        <f t="shared" si="87"/>
        <v>1.6618884712224712E-21</v>
      </c>
      <c r="O801">
        <f t="shared" si="88"/>
        <v>1</v>
      </c>
      <c r="P801">
        <f t="shared" si="89"/>
        <v>0</v>
      </c>
    </row>
    <row r="802" spans="1:16" x14ac:dyDescent="0.3">
      <c r="A802" s="2">
        <f t="shared" si="90"/>
        <v>798</v>
      </c>
      <c r="B802" s="2">
        <v>25</v>
      </c>
      <c r="C802" s="2">
        <v>0.6</v>
      </c>
      <c r="D802" s="2">
        <v>25</v>
      </c>
      <c r="E802" s="2">
        <v>1</v>
      </c>
      <c r="F802" s="2">
        <v>45</v>
      </c>
      <c r="G802" s="2">
        <v>1</v>
      </c>
      <c r="H802" s="2">
        <v>20</v>
      </c>
      <c r="I802" s="2">
        <v>0</v>
      </c>
      <c r="J802" s="2">
        <v>1</v>
      </c>
      <c r="K802">
        <f t="shared" si="84"/>
        <v>30.396677050700724</v>
      </c>
      <c r="L802">
        <f t="shared" si="85"/>
        <v>42.649795503483197</v>
      </c>
      <c r="M802">
        <f t="shared" si="86"/>
        <v>4.7701957174702779E-6</v>
      </c>
      <c r="N802">
        <f t="shared" si="87"/>
        <v>0.99999522980428257</v>
      </c>
      <c r="O802">
        <f t="shared" si="88"/>
        <v>0.99999522980428257</v>
      </c>
      <c r="P802">
        <f t="shared" si="89"/>
        <v>-4.77020709484931E-6</v>
      </c>
    </row>
    <row r="803" spans="1:16" x14ac:dyDescent="0.3">
      <c r="A803" s="2">
        <f t="shared" si="90"/>
        <v>799</v>
      </c>
      <c r="B803" s="2">
        <v>25</v>
      </c>
      <c r="C803" s="2">
        <v>0.8</v>
      </c>
      <c r="D803" s="2">
        <v>25</v>
      </c>
      <c r="E803" s="2">
        <v>1</v>
      </c>
      <c r="F803" s="2">
        <v>90</v>
      </c>
      <c r="G803" s="2">
        <v>0.9</v>
      </c>
      <c r="H803" s="2">
        <v>20</v>
      </c>
      <c r="I803" s="2">
        <v>1</v>
      </c>
      <c r="J803" s="2">
        <v>0</v>
      </c>
      <c r="K803">
        <f t="shared" si="84"/>
        <v>37.529978976036332</v>
      </c>
      <c r="L803">
        <f t="shared" si="85"/>
        <v>39.100243153110959</v>
      </c>
      <c r="M803">
        <f t="shared" si="86"/>
        <v>0.17217873446433735</v>
      </c>
      <c r="N803">
        <f t="shared" si="87"/>
        <v>0.8278212655356626</v>
      </c>
      <c r="O803">
        <f t="shared" si="88"/>
        <v>0.17217873446433735</v>
      </c>
      <c r="P803">
        <f t="shared" si="89"/>
        <v>-1.7592221878528835</v>
      </c>
    </row>
    <row r="804" spans="1:16" x14ac:dyDescent="0.3">
      <c r="A804" s="2">
        <f t="shared" si="90"/>
        <v>800</v>
      </c>
      <c r="B804" s="2">
        <v>25</v>
      </c>
      <c r="C804" s="2">
        <v>0.6</v>
      </c>
      <c r="D804" s="2">
        <v>15</v>
      </c>
      <c r="E804" s="2">
        <v>1</v>
      </c>
      <c r="F804" s="2">
        <v>90</v>
      </c>
      <c r="G804" s="2">
        <v>1</v>
      </c>
      <c r="H804" s="2">
        <v>40</v>
      </c>
      <c r="I804" s="2">
        <v>1</v>
      </c>
      <c r="J804" s="2">
        <v>0</v>
      </c>
      <c r="K804">
        <f t="shared" si="84"/>
        <v>74.947590427278556</v>
      </c>
      <c r="L804">
        <f t="shared" si="85"/>
        <v>24.967129345639712</v>
      </c>
      <c r="M804">
        <f t="shared" si="86"/>
        <v>1</v>
      </c>
      <c r="N804">
        <f t="shared" si="87"/>
        <v>1.9668061121837329E-22</v>
      </c>
      <c r="O804">
        <f t="shared" si="88"/>
        <v>1</v>
      </c>
      <c r="P804">
        <f t="shared" si="89"/>
        <v>0</v>
      </c>
    </row>
    <row r="805" spans="1:16" x14ac:dyDescent="0.3">
      <c r="A805" s="2">
        <f t="shared" si="90"/>
        <v>801</v>
      </c>
      <c r="B805" s="2">
        <v>20</v>
      </c>
      <c r="C805" s="2">
        <v>0.6</v>
      </c>
      <c r="D805" s="2">
        <v>20</v>
      </c>
      <c r="E805" s="2">
        <v>1</v>
      </c>
      <c r="F805" s="2">
        <v>60</v>
      </c>
      <c r="G805" s="2">
        <v>0.9</v>
      </c>
      <c r="H805" s="2">
        <v>10</v>
      </c>
      <c r="I805" s="2">
        <v>0</v>
      </c>
      <c r="J805" s="2">
        <v>1</v>
      </c>
      <c r="K805">
        <f t="shared" si="84"/>
        <v>14.301542572289428</v>
      </c>
      <c r="L805">
        <f t="shared" si="85"/>
        <v>32.49261794517642</v>
      </c>
      <c r="M805">
        <f t="shared" si="86"/>
        <v>1.258103412109452E-8</v>
      </c>
      <c r="N805">
        <f t="shared" si="87"/>
        <v>0.9999999874189659</v>
      </c>
      <c r="O805">
        <f t="shared" si="88"/>
        <v>0.9999999874189659</v>
      </c>
      <c r="P805">
        <f t="shared" si="89"/>
        <v>-1.2581034182539491E-8</v>
      </c>
    </row>
    <row r="806" spans="1:16" x14ac:dyDescent="0.3">
      <c r="A806" s="2">
        <f t="shared" si="90"/>
        <v>802</v>
      </c>
      <c r="B806" s="2">
        <v>15</v>
      </c>
      <c r="C806" s="2">
        <v>0.6</v>
      </c>
      <c r="D806" s="2">
        <v>15</v>
      </c>
      <c r="E806" s="2">
        <v>1</v>
      </c>
      <c r="F806" s="2">
        <v>60</v>
      </c>
      <c r="G806" s="2">
        <v>0.8</v>
      </c>
      <c r="H806" s="2">
        <v>20</v>
      </c>
      <c r="I806" s="2">
        <v>1</v>
      </c>
      <c r="J806" s="2">
        <v>0</v>
      </c>
      <c r="K806">
        <f t="shared" si="84"/>
        <v>35.133483746792109</v>
      </c>
      <c r="L806">
        <f t="shared" si="85"/>
        <v>22.335440386869656</v>
      </c>
      <c r="M806">
        <f t="shared" si="86"/>
        <v>0.99999723382795325</v>
      </c>
      <c r="N806">
        <f t="shared" si="87"/>
        <v>2.7661720467427559E-6</v>
      </c>
      <c r="O806">
        <f t="shared" si="88"/>
        <v>0.99999723382795325</v>
      </c>
      <c r="P806">
        <f t="shared" si="89"/>
        <v>-2.7661758726140642E-6</v>
      </c>
    </row>
    <row r="807" spans="1:16" x14ac:dyDescent="0.3">
      <c r="A807" s="2">
        <f t="shared" si="90"/>
        <v>803</v>
      </c>
      <c r="B807" s="2">
        <v>25</v>
      </c>
      <c r="C807" s="2">
        <v>0.8</v>
      </c>
      <c r="D807" s="2">
        <v>25</v>
      </c>
      <c r="E807" s="2">
        <v>1</v>
      </c>
      <c r="F807" s="2">
        <v>45</v>
      </c>
      <c r="G807" s="2">
        <v>0.8</v>
      </c>
      <c r="H807" s="2">
        <v>10</v>
      </c>
      <c r="I807" s="2">
        <v>0</v>
      </c>
      <c r="J807" s="2">
        <v>1</v>
      </c>
      <c r="K807">
        <f t="shared" si="84"/>
        <v>13.811006773961173</v>
      </c>
      <c r="L807">
        <f t="shared" si="85"/>
        <v>39.100243153110959</v>
      </c>
      <c r="M807">
        <f t="shared" si="86"/>
        <v>1.0399780880767129E-11</v>
      </c>
      <c r="N807">
        <f t="shared" si="87"/>
        <v>0.99999999998960021</v>
      </c>
      <c r="O807">
        <f t="shared" si="88"/>
        <v>0.99999999998960021</v>
      </c>
      <c r="P807">
        <f t="shared" si="89"/>
        <v>-1.0399792138625307E-11</v>
      </c>
    </row>
    <row r="808" spans="1:16" x14ac:dyDescent="0.3">
      <c r="A808" s="2">
        <f t="shared" si="90"/>
        <v>804</v>
      </c>
      <c r="B808" s="2">
        <v>15</v>
      </c>
      <c r="C808" s="2">
        <v>0.6</v>
      </c>
      <c r="D808" s="2">
        <v>20</v>
      </c>
      <c r="E808" s="2">
        <v>1</v>
      </c>
      <c r="F808" s="2">
        <v>45</v>
      </c>
      <c r="G808" s="2">
        <v>0.9</v>
      </c>
      <c r="H808" s="2">
        <v>10</v>
      </c>
      <c r="I808" s="2">
        <v>0</v>
      </c>
      <c r="J808" s="2">
        <v>1</v>
      </c>
      <c r="K808">
        <f t="shared" si="84"/>
        <v>12.395583141373463</v>
      </c>
      <c r="L808">
        <f t="shared" si="85"/>
        <v>31.176773465791396</v>
      </c>
      <c r="M808">
        <f t="shared" si="86"/>
        <v>6.9732088954961846E-9</v>
      </c>
      <c r="N808">
        <f t="shared" si="87"/>
        <v>0.9999999930267911</v>
      </c>
      <c r="O808">
        <f t="shared" si="88"/>
        <v>0.9999999930267911</v>
      </c>
      <c r="P808">
        <f t="shared" si="89"/>
        <v>-6.9732089235097686E-9</v>
      </c>
    </row>
    <row r="809" spans="1:16" x14ac:dyDescent="0.3">
      <c r="A809" s="2">
        <f t="shared" si="90"/>
        <v>805</v>
      </c>
      <c r="B809" s="2">
        <v>15</v>
      </c>
      <c r="C809" s="2">
        <v>0.6</v>
      </c>
      <c r="D809" s="2">
        <v>20</v>
      </c>
      <c r="E809" s="2">
        <v>1</v>
      </c>
      <c r="F809" s="2">
        <v>45</v>
      </c>
      <c r="G809" s="2">
        <v>0.9</v>
      </c>
      <c r="H809" s="2">
        <v>40</v>
      </c>
      <c r="I809" s="2">
        <v>1</v>
      </c>
      <c r="J809" s="2">
        <v>0</v>
      </c>
      <c r="K809">
        <f t="shared" si="84"/>
        <v>70.645135767118376</v>
      </c>
      <c r="L809">
        <f t="shared" si="85"/>
        <v>31.176773465791396</v>
      </c>
      <c r="M809">
        <f t="shared" si="86"/>
        <v>1</v>
      </c>
      <c r="N809">
        <f t="shared" si="87"/>
        <v>7.2294963496803228E-18</v>
      </c>
      <c r="O809">
        <f t="shared" si="88"/>
        <v>1</v>
      </c>
      <c r="P809">
        <f t="shared" si="89"/>
        <v>0</v>
      </c>
    </row>
    <row r="810" spans="1:16" x14ac:dyDescent="0.3">
      <c r="A810" s="2">
        <f t="shared" si="90"/>
        <v>806</v>
      </c>
      <c r="B810" s="2">
        <v>15</v>
      </c>
      <c r="C810" s="2">
        <v>0.8</v>
      </c>
      <c r="D810" s="2">
        <v>15</v>
      </c>
      <c r="E810" s="2">
        <v>1</v>
      </c>
      <c r="F810" s="2">
        <v>45</v>
      </c>
      <c r="G810" s="2">
        <v>0.8</v>
      </c>
      <c r="H810" s="2">
        <v>10</v>
      </c>
      <c r="I810" s="2">
        <v>0</v>
      </c>
      <c r="J810" s="2">
        <v>1</v>
      </c>
      <c r="K810">
        <f t="shared" si="84"/>
        <v>13.811006773961173</v>
      </c>
      <c r="L810">
        <f t="shared" si="85"/>
        <v>18.785888036497418</v>
      </c>
      <c r="M810">
        <f t="shared" si="86"/>
        <v>6.8619279001407435E-3</v>
      </c>
      <c r="N810">
        <f t="shared" si="87"/>
        <v>0.99313807209985927</v>
      </c>
      <c r="O810">
        <f t="shared" si="88"/>
        <v>0.99313807209985927</v>
      </c>
      <c r="P810">
        <f t="shared" si="89"/>
        <v>-6.8855791850988158E-3</v>
      </c>
    </row>
    <row r="811" spans="1:16" x14ac:dyDescent="0.3">
      <c r="A811" s="2">
        <f t="shared" si="90"/>
        <v>807</v>
      </c>
      <c r="B811" s="2">
        <v>15</v>
      </c>
      <c r="C811" s="2">
        <v>0.8</v>
      </c>
      <c r="D811" s="2">
        <v>15</v>
      </c>
      <c r="E811" s="2">
        <v>1</v>
      </c>
      <c r="F811" s="2">
        <v>45</v>
      </c>
      <c r="G811" s="2">
        <v>0.8</v>
      </c>
      <c r="H811" s="2">
        <v>20</v>
      </c>
      <c r="I811" s="2">
        <v>1</v>
      </c>
      <c r="J811" s="2">
        <v>0</v>
      </c>
      <c r="K811">
        <f t="shared" si="84"/>
        <v>33.227524315876146</v>
      </c>
      <c r="L811">
        <f t="shared" si="85"/>
        <v>18.785888036497418</v>
      </c>
      <c r="M811">
        <f t="shared" si="86"/>
        <v>0.99999946534107353</v>
      </c>
      <c r="N811">
        <f t="shared" si="87"/>
        <v>5.3465892643370196E-7</v>
      </c>
      <c r="O811">
        <f t="shared" si="88"/>
        <v>0.99999946534107353</v>
      </c>
      <c r="P811">
        <f t="shared" si="89"/>
        <v>-5.3465906939556037E-7</v>
      </c>
    </row>
    <row r="812" spans="1:16" x14ac:dyDescent="0.3">
      <c r="A812" s="2">
        <f t="shared" si="90"/>
        <v>808</v>
      </c>
      <c r="B812" s="2">
        <v>15</v>
      </c>
      <c r="C812" s="2">
        <v>0.8</v>
      </c>
      <c r="D812" s="2">
        <v>15</v>
      </c>
      <c r="E812" s="2">
        <v>1</v>
      </c>
      <c r="F812" s="2">
        <v>90</v>
      </c>
      <c r="G812" s="2">
        <v>0.8</v>
      </c>
      <c r="H812" s="2">
        <v>20</v>
      </c>
      <c r="I812" s="2">
        <v>1</v>
      </c>
      <c r="J812" s="2">
        <v>0</v>
      </c>
      <c r="K812">
        <f t="shared" si="84"/>
        <v>38.945402608624036</v>
      </c>
      <c r="L812">
        <f t="shared" si="85"/>
        <v>18.785888036497418</v>
      </c>
      <c r="M812">
        <f t="shared" si="86"/>
        <v>0.99999999824274799</v>
      </c>
      <c r="N812">
        <f t="shared" si="87"/>
        <v>1.7572520665072942E-9</v>
      </c>
      <c r="O812">
        <f t="shared" si="88"/>
        <v>0.99999999824274799</v>
      </c>
      <c r="P812">
        <f t="shared" si="89"/>
        <v>-1.7572520121141657E-9</v>
      </c>
    </row>
    <row r="813" spans="1:16" x14ac:dyDescent="0.3">
      <c r="A813" s="2">
        <f t="shared" si="90"/>
        <v>809</v>
      </c>
      <c r="B813" s="2">
        <v>25</v>
      </c>
      <c r="C813" s="2">
        <v>0.8</v>
      </c>
      <c r="D813" s="2">
        <v>25</v>
      </c>
      <c r="E813" s="2">
        <v>1</v>
      </c>
      <c r="F813" s="2">
        <v>45</v>
      </c>
      <c r="G813" s="2">
        <v>1</v>
      </c>
      <c r="H813" s="2">
        <v>40</v>
      </c>
      <c r="I813" s="2">
        <v>1</v>
      </c>
      <c r="J813" s="2">
        <v>0</v>
      </c>
      <c r="K813">
        <f t="shared" si="84"/>
        <v>69.229712134530658</v>
      </c>
      <c r="L813">
        <f t="shared" si="85"/>
        <v>39.100243153110959</v>
      </c>
      <c r="M813">
        <f t="shared" si="86"/>
        <v>0.99999999999991784</v>
      </c>
      <c r="N813">
        <f t="shared" si="87"/>
        <v>8.2212504510460281E-14</v>
      </c>
      <c r="O813">
        <f t="shared" si="88"/>
        <v>0.99999999999991784</v>
      </c>
      <c r="P813">
        <f t="shared" si="89"/>
        <v>-8.2156503822264954E-14</v>
      </c>
    </row>
    <row r="814" spans="1:16" x14ac:dyDescent="0.3">
      <c r="A814" s="2">
        <f t="shared" si="90"/>
        <v>810</v>
      </c>
      <c r="B814" s="2">
        <v>20</v>
      </c>
      <c r="C814" s="2">
        <v>0.8</v>
      </c>
      <c r="D814" s="2">
        <v>25</v>
      </c>
      <c r="E814" s="2">
        <v>1</v>
      </c>
      <c r="F814" s="2">
        <v>90</v>
      </c>
      <c r="G814" s="2">
        <v>1</v>
      </c>
      <c r="H814" s="2">
        <v>40</v>
      </c>
      <c r="I814" s="2">
        <v>1</v>
      </c>
      <c r="J814" s="2">
        <v>0</v>
      </c>
      <c r="K814">
        <f t="shared" si="84"/>
        <v>74.947590427278556</v>
      </c>
      <c r="L814">
        <f t="shared" si="85"/>
        <v>37.784398673725924</v>
      </c>
      <c r="M814">
        <f t="shared" si="86"/>
        <v>1</v>
      </c>
      <c r="N814">
        <f t="shared" si="87"/>
        <v>7.2482120694748403E-17</v>
      </c>
      <c r="O814">
        <f t="shared" si="88"/>
        <v>1</v>
      </c>
      <c r="P814">
        <f t="shared" si="89"/>
        <v>0</v>
      </c>
    </row>
    <row r="815" spans="1:16" x14ac:dyDescent="0.3">
      <c r="A815" s="2">
        <f t="shared" si="90"/>
        <v>811</v>
      </c>
      <c r="B815" s="2">
        <v>15</v>
      </c>
      <c r="C815" s="2">
        <v>0.4</v>
      </c>
      <c r="D815" s="2">
        <v>15</v>
      </c>
      <c r="E815" s="2">
        <v>1</v>
      </c>
      <c r="F815" s="2">
        <v>45</v>
      </c>
      <c r="G815" s="2">
        <v>1</v>
      </c>
      <c r="H815" s="2">
        <v>10</v>
      </c>
      <c r="I815" s="2">
        <v>0</v>
      </c>
      <c r="J815" s="2">
        <v>1</v>
      </c>
      <c r="K815">
        <f t="shared" si="84"/>
        <v>10.980159508785752</v>
      </c>
      <c r="L815">
        <f t="shared" si="85"/>
        <v>25.884992737241895</v>
      </c>
      <c r="M815">
        <f t="shared" si="86"/>
        <v>3.364441870056331E-7</v>
      </c>
      <c r="N815">
        <f t="shared" si="87"/>
        <v>0.99999966355581305</v>
      </c>
      <c r="O815">
        <f t="shared" si="88"/>
        <v>0.99999966355581305</v>
      </c>
      <c r="P815">
        <f t="shared" si="89"/>
        <v>-3.3644424355202344E-7</v>
      </c>
    </row>
    <row r="816" spans="1:16" x14ac:dyDescent="0.3">
      <c r="A816" s="2">
        <f t="shared" si="90"/>
        <v>812</v>
      </c>
      <c r="B816" s="2">
        <v>25</v>
      </c>
      <c r="C816" s="2">
        <v>0.8</v>
      </c>
      <c r="D816" s="2">
        <v>15</v>
      </c>
      <c r="E816" s="2">
        <v>1</v>
      </c>
      <c r="F816" s="2">
        <v>60</v>
      </c>
      <c r="G816" s="2">
        <v>1</v>
      </c>
      <c r="H816" s="2">
        <v>10</v>
      </c>
      <c r="I816" s="2">
        <v>0</v>
      </c>
      <c r="J816" s="2">
        <v>1</v>
      </c>
      <c r="K816">
        <f t="shared" si="84"/>
        <v>12.886118939701717</v>
      </c>
      <c r="L816">
        <f t="shared" si="85"/>
        <v>21.417576995267474</v>
      </c>
      <c r="M816">
        <f t="shared" si="86"/>
        <v>1.9712841211954406E-4</v>
      </c>
      <c r="N816">
        <f t="shared" si="87"/>
        <v>0.9998028715878805</v>
      </c>
      <c r="O816">
        <f t="shared" si="88"/>
        <v>0.9998028715878805</v>
      </c>
      <c r="P816">
        <f t="shared" si="89"/>
        <v>-1.9714784447875047E-4</v>
      </c>
    </row>
    <row r="817" spans="1:16" x14ac:dyDescent="0.3">
      <c r="A817" s="2">
        <f t="shared" si="90"/>
        <v>813</v>
      </c>
      <c r="B817" s="2">
        <v>25</v>
      </c>
      <c r="C817" s="2">
        <v>0.6</v>
      </c>
      <c r="D817" s="2">
        <v>15</v>
      </c>
      <c r="E817" s="2">
        <v>1</v>
      </c>
      <c r="F817" s="2">
        <v>60</v>
      </c>
      <c r="G817" s="2">
        <v>0.9</v>
      </c>
      <c r="H817" s="2">
        <v>20</v>
      </c>
      <c r="I817" s="2">
        <v>1</v>
      </c>
      <c r="J817" s="2">
        <v>0</v>
      </c>
      <c r="K817">
        <f t="shared" si="84"/>
        <v>33.718060114204398</v>
      </c>
      <c r="L817">
        <f t="shared" si="85"/>
        <v>24.967129345639712</v>
      </c>
      <c r="M817">
        <f t="shared" si="86"/>
        <v>0.99984171115641041</v>
      </c>
      <c r="N817">
        <f t="shared" si="87"/>
        <v>1.5828884358961708E-4</v>
      </c>
      <c r="O817">
        <f t="shared" si="88"/>
        <v>0.99984171115641041</v>
      </c>
      <c r="P817">
        <f t="shared" si="89"/>
        <v>-1.5830137259074747E-4</v>
      </c>
    </row>
    <row r="818" spans="1:16" x14ac:dyDescent="0.3">
      <c r="A818" s="2">
        <f t="shared" si="90"/>
        <v>814</v>
      </c>
      <c r="B818" s="2">
        <v>20</v>
      </c>
      <c r="C818" s="2">
        <v>0.6</v>
      </c>
      <c r="D818" s="2">
        <v>20</v>
      </c>
      <c r="E818" s="2">
        <v>1</v>
      </c>
      <c r="F818" s="2">
        <v>45</v>
      </c>
      <c r="G818" s="2">
        <v>0.9</v>
      </c>
      <c r="H818" s="2">
        <v>20</v>
      </c>
      <c r="I818" s="2">
        <v>0</v>
      </c>
      <c r="J818" s="2">
        <v>1</v>
      </c>
      <c r="K818">
        <f t="shared" si="84"/>
        <v>31.812100683288435</v>
      </c>
      <c r="L818">
        <f t="shared" si="85"/>
        <v>32.49261794517642</v>
      </c>
      <c r="M818">
        <f t="shared" si="86"/>
        <v>0.33614586488127585</v>
      </c>
      <c r="N818">
        <f t="shared" si="87"/>
        <v>0.66385413511872415</v>
      </c>
      <c r="O818">
        <f t="shared" si="88"/>
        <v>0.66385413511872415</v>
      </c>
      <c r="P818">
        <f t="shared" si="89"/>
        <v>-0.40969282966403353</v>
      </c>
    </row>
    <row r="819" spans="1:16" x14ac:dyDescent="0.3">
      <c r="A819" s="2">
        <f t="shared" si="90"/>
        <v>815</v>
      </c>
      <c r="B819" s="2">
        <v>20</v>
      </c>
      <c r="C819" s="2">
        <v>0.8</v>
      </c>
      <c r="D819" s="2">
        <v>15</v>
      </c>
      <c r="E819" s="2">
        <v>1</v>
      </c>
      <c r="F819" s="2">
        <v>45</v>
      </c>
      <c r="G819" s="2">
        <v>0.9</v>
      </c>
      <c r="H819" s="2">
        <v>40</v>
      </c>
      <c r="I819" s="2">
        <v>1</v>
      </c>
      <c r="J819" s="2">
        <v>0</v>
      </c>
      <c r="K819">
        <f t="shared" si="84"/>
        <v>70.645135767118376</v>
      </c>
      <c r="L819">
        <f t="shared" si="85"/>
        <v>20.101732515882446</v>
      </c>
      <c r="M819">
        <f t="shared" si="86"/>
        <v>1</v>
      </c>
      <c r="N819">
        <f t="shared" si="87"/>
        <v>1.1201569334388634E-22</v>
      </c>
      <c r="O819">
        <f t="shared" si="88"/>
        <v>1</v>
      </c>
      <c r="P819">
        <f t="shared" si="89"/>
        <v>0</v>
      </c>
    </row>
    <row r="820" spans="1:16" x14ac:dyDescent="0.3">
      <c r="A820" s="2">
        <f t="shared" si="90"/>
        <v>816</v>
      </c>
      <c r="B820" s="2">
        <v>20</v>
      </c>
      <c r="C820" s="2">
        <v>0.8</v>
      </c>
      <c r="D820" s="2">
        <v>15</v>
      </c>
      <c r="E820" s="2">
        <v>1</v>
      </c>
      <c r="F820" s="2">
        <v>60</v>
      </c>
      <c r="G820" s="2">
        <v>0.8</v>
      </c>
      <c r="H820" s="2">
        <v>40</v>
      </c>
      <c r="I820" s="2">
        <v>1</v>
      </c>
      <c r="J820" s="2">
        <v>0</v>
      </c>
      <c r="K820">
        <f t="shared" si="84"/>
        <v>73.96651883062205</v>
      </c>
      <c r="L820">
        <f t="shared" si="85"/>
        <v>20.101732515882446</v>
      </c>
      <c r="M820">
        <f t="shared" si="86"/>
        <v>1</v>
      </c>
      <c r="N820">
        <f t="shared" si="87"/>
        <v>4.0440874158840642E-24</v>
      </c>
      <c r="O820">
        <f t="shared" si="88"/>
        <v>1</v>
      </c>
      <c r="P820">
        <f t="shared" si="89"/>
        <v>0</v>
      </c>
    </row>
    <row r="821" spans="1:16" x14ac:dyDescent="0.3">
      <c r="A821" s="2">
        <f t="shared" si="90"/>
        <v>817</v>
      </c>
      <c r="B821" s="2">
        <v>25</v>
      </c>
      <c r="C821" s="2">
        <v>0.8</v>
      </c>
      <c r="D821" s="2">
        <v>15</v>
      </c>
      <c r="E821" s="2">
        <v>1</v>
      </c>
      <c r="F821" s="2">
        <v>60</v>
      </c>
      <c r="G821" s="2">
        <v>0.8</v>
      </c>
      <c r="H821" s="2">
        <v>20</v>
      </c>
      <c r="I821" s="2">
        <v>1</v>
      </c>
      <c r="J821" s="2">
        <v>0</v>
      </c>
      <c r="K821">
        <f t="shared" si="84"/>
        <v>35.133483746792109</v>
      </c>
      <c r="L821">
        <f t="shared" si="85"/>
        <v>21.417576995267474</v>
      </c>
      <c r="M821">
        <f t="shared" si="86"/>
        <v>0.99999889526807717</v>
      </c>
      <c r="N821">
        <f t="shared" si="87"/>
        <v>1.1047319227683577E-6</v>
      </c>
      <c r="O821">
        <f t="shared" si="88"/>
        <v>0.99999889526807717</v>
      </c>
      <c r="P821">
        <f t="shared" si="89"/>
        <v>-1.1047325330464315E-6</v>
      </c>
    </row>
    <row r="822" spans="1:16" x14ac:dyDescent="0.3">
      <c r="A822" s="2">
        <f t="shared" si="90"/>
        <v>818</v>
      </c>
      <c r="B822" s="2">
        <v>15</v>
      </c>
      <c r="C822" s="2">
        <v>0.6</v>
      </c>
      <c r="D822" s="2">
        <v>20</v>
      </c>
      <c r="E822" s="2">
        <v>1</v>
      </c>
      <c r="F822" s="2">
        <v>60</v>
      </c>
      <c r="G822" s="2">
        <v>0.8</v>
      </c>
      <c r="H822" s="2">
        <v>10</v>
      </c>
      <c r="I822" s="2">
        <v>0</v>
      </c>
      <c r="J822" s="2">
        <v>1</v>
      </c>
      <c r="K822">
        <f t="shared" si="84"/>
        <v>15.716966204877139</v>
      </c>
      <c r="L822">
        <f t="shared" si="85"/>
        <v>31.176773465791396</v>
      </c>
      <c r="M822">
        <f t="shared" si="86"/>
        <v>1.9314831839929064E-7</v>
      </c>
      <c r="N822">
        <f t="shared" si="87"/>
        <v>0.99999980685168155</v>
      </c>
      <c r="O822">
        <f t="shared" si="88"/>
        <v>0.99999980685168155</v>
      </c>
      <c r="P822">
        <f t="shared" si="89"/>
        <v>-1.9314833710343687E-7</v>
      </c>
    </row>
    <row r="823" spans="1:16" x14ac:dyDescent="0.3">
      <c r="A823" s="2">
        <f t="shared" si="90"/>
        <v>819</v>
      </c>
      <c r="B823" s="2">
        <v>20</v>
      </c>
      <c r="C823" s="2">
        <v>0.6</v>
      </c>
      <c r="D823" s="2">
        <v>20</v>
      </c>
      <c r="E823" s="2">
        <v>1</v>
      </c>
      <c r="F823" s="2">
        <v>60</v>
      </c>
      <c r="G823" s="2">
        <v>0.8</v>
      </c>
      <c r="H823" s="2">
        <v>10</v>
      </c>
      <c r="I823" s="2">
        <v>0</v>
      </c>
      <c r="J823" s="2">
        <v>1</v>
      </c>
      <c r="K823">
        <f t="shared" si="84"/>
        <v>15.716966204877139</v>
      </c>
      <c r="L823">
        <f t="shared" si="85"/>
        <v>32.49261794517642</v>
      </c>
      <c r="M823">
        <f t="shared" si="86"/>
        <v>5.1811599088974639E-8</v>
      </c>
      <c r="N823">
        <f t="shared" si="87"/>
        <v>0.99999994818840088</v>
      </c>
      <c r="O823">
        <f t="shared" si="88"/>
        <v>0.99999994818840088</v>
      </c>
      <c r="P823">
        <f t="shared" si="89"/>
        <v>-5.1811600464374444E-8</v>
      </c>
    </row>
    <row r="824" spans="1:16" x14ac:dyDescent="0.3">
      <c r="A824" s="2">
        <f t="shared" si="90"/>
        <v>820</v>
      </c>
      <c r="B824" s="2">
        <v>15</v>
      </c>
      <c r="C824" s="2">
        <v>0.4</v>
      </c>
      <c r="D824" s="2">
        <v>20</v>
      </c>
      <c r="E824" s="2">
        <v>1</v>
      </c>
      <c r="F824" s="2">
        <v>90</v>
      </c>
      <c r="G824" s="2">
        <v>1</v>
      </c>
      <c r="H824" s="2">
        <v>40</v>
      </c>
      <c r="I824" s="2">
        <v>1</v>
      </c>
      <c r="J824" s="2">
        <v>0</v>
      </c>
      <c r="K824">
        <f t="shared" si="84"/>
        <v>74.947590427278556</v>
      </c>
      <c r="L824">
        <f t="shared" si="85"/>
        <v>34.72632581616363</v>
      </c>
      <c r="M824">
        <f t="shared" si="86"/>
        <v>1</v>
      </c>
      <c r="N824">
        <f t="shared" si="87"/>
        <v>3.4050753302489832E-18</v>
      </c>
      <c r="O824">
        <f t="shared" si="88"/>
        <v>1</v>
      </c>
      <c r="P824">
        <f t="shared" si="89"/>
        <v>0</v>
      </c>
    </row>
    <row r="825" spans="1:16" x14ac:dyDescent="0.3">
      <c r="A825" s="2">
        <f t="shared" si="90"/>
        <v>821</v>
      </c>
      <c r="B825" s="2">
        <v>15</v>
      </c>
      <c r="C825" s="2">
        <v>0.6</v>
      </c>
      <c r="D825" s="2">
        <v>25</v>
      </c>
      <c r="E825" s="2">
        <v>1</v>
      </c>
      <c r="F825" s="2">
        <v>90</v>
      </c>
      <c r="G825" s="2">
        <v>1</v>
      </c>
      <c r="H825" s="2">
        <v>10</v>
      </c>
      <c r="I825" s="2">
        <v>0</v>
      </c>
      <c r="J825" s="2">
        <v>1</v>
      </c>
      <c r="K825">
        <f t="shared" si="84"/>
        <v>16.698037801533648</v>
      </c>
      <c r="L825">
        <f t="shared" si="85"/>
        <v>40.018106544713142</v>
      </c>
      <c r="M825">
        <f t="shared" si="86"/>
        <v>7.4511417797883601E-11</v>
      </c>
      <c r="N825">
        <f t="shared" si="87"/>
        <v>0.99999999992548849</v>
      </c>
      <c r="O825">
        <f t="shared" si="88"/>
        <v>0.99999999992548849</v>
      </c>
      <c r="P825">
        <f t="shared" si="89"/>
        <v>-7.4511508077468735E-11</v>
      </c>
    </row>
    <row r="826" spans="1:16" x14ac:dyDescent="0.3">
      <c r="A826" s="2">
        <f t="shared" si="90"/>
        <v>822</v>
      </c>
      <c r="B826" s="2">
        <v>25</v>
      </c>
      <c r="C826" s="2">
        <v>0.6</v>
      </c>
      <c r="D826" s="2">
        <v>25</v>
      </c>
      <c r="E826" s="2">
        <v>1</v>
      </c>
      <c r="F826" s="2">
        <v>60</v>
      </c>
      <c r="G826" s="2">
        <v>1</v>
      </c>
      <c r="H826" s="2">
        <v>20</v>
      </c>
      <c r="I826" s="2">
        <v>0</v>
      </c>
      <c r="J826" s="2">
        <v>1</v>
      </c>
      <c r="K826">
        <f t="shared" si="84"/>
        <v>32.302636481616688</v>
      </c>
      <c r="L826">
        <f t="shared" si="85"/>
        <v>42.649795503483197</v>
      </c>
      <c r="M826">
        <f t="shared" si="86"/>
        <v>3.2082780487812342E-5</v>
      </c>
      <c r="N826">
        <f t="shared" si="87"/>
        <v>0.99996791721951217</v>
      </c>
      <c r="O826">
        <f t="shared" si="88"/>
        <v>0.99996791721951217</v>
      </c>
      <c r="P826">
        <f t="shared" si="89"/>
        <v>-3.2083295151239696E-5</v>
      </c>
    </row>
    <row r="827" spans="1:16" x14ac:dyDescent="0.3">
      <c r="A827" s="2">
        <f t="shared" si="90"/>
        <v>823</v>
      </c>
      <c r="B827" s="2">
        <v>25</v>
      </c>
      <c r="C827" s="2">
        <v>0.4</v>
      </c>
      <c r="D827" s="2">
        <v>25</v>
      </c>
      <c r="E827" s="2">
        <v>1</v>
      </c>
      <c r="F827" s="2">
        <v>90</v>
      </c>
      <c r="G827" s="2">
        <v>0.9</v>
      </c>
      <c r="H827" s="2">
        <v>20</v>
      </c>
      <c r="I827" s="2">
        <v>0</v>
      </c>
      <c r="J827" s="2">
        <v>1</v>
      </c>
      <c r="K827">
        <f t="shared" si="84"/>
        <v>37.529978976036332</v>
      </c>
      <c r="L827">
        <f t="shared" si="85"/>
        <v>46.199347853855429</v>
      </c>
      <c r="M827">
        <f t="shared" si="86"/>
        <v>1.7173797728822825E-4</v>
      </c>
      <c r="N827">
        <f t="shared" si="87"/>
        <v>0.99982826202271169</v>
      </c>
      <c r="O827">
        <f t="shared" si="88"/>
        <v>0.99982826202271169</v>
      </c>
      <c r="P827">
        <f t="shared" si="89"/>
        <v>-1.7175272594335947E-4</v>
      </c>
    </row>
    <row r="828" spans="1:16" x14ac:dyDescent="0.3">
      <c r="A828" s="2">
        <f t="shared" si="90"/>
        <v>824</v>
      </c>
      <c r="B828" s="2">
        <v>15</v>
      </c>
      <c r="C828" s="2">
        <v>0.6</v>
      </c>
      <c r="D828" s="2">
        <v>20</v>
      </c>
      <c r="E828" s="2">
        <v>1</v>
      </c>
      <c r="F828" s="2">
        <v>60</v>
      </c>
      <c r="G828" s="2">
        <v>0.8</v>
      </c>
      <c r="H828" s="2">
        <v>40</v>
      </c>
      <c r="I828" s="2">
        <v>1</v>
      </c>
      <c r="J828" s="2">
        <v>0</v>
      </c>
      <c r="K828">
        <f t="shared" si="84"/>
        <v>73.96651883062205</v>
      </c>
      <c r="L828">
        <f t="shared" si="85"/>
        <v>31.176773465791396</v>
      </c>
      <c r="M828">
        <f t="shared" si="86"/>
        <v>1</v>
      </c>
      <c r="N828">
        <f t="shared" si="87"/>
        <v>2.610055282268863E-19</v>
      </c>
      <c r="O828">
        <f t="shared" si="88"/>
        <v>1</v>
      </c>
      <c r="P828">
        <f t="shared" si="89"/>
        <v>0</v>
      </c>
    </row>
    <row r="829" spans="1:16" x14ac:dyDescent="0.3">
      <c r="A829" s="2">
        <f t="shared" si="90"/>
        <v>825</v>
      </c>
      <c r="B829" s="2">
        <v>20</v>
      </c>
      <c r="C829" s="2">
        <v>0.4</v>
      </c>
      <c r="D829" s="2">
        <v>15</v>
      </c>
      <c r="E829" s="2">
        <v>1</v>
      </c>
      <c r="F829" s="2">
        <v>60</v>
      </c>
      <c r="G829" s="2">
        <v>1</v>
      </c>
      <c r="H829" s="2">
        <v>10</v>
      </c>
      <c r="I829" s="2">
        <v>0</v>
      </c>
      <c r="J829" s="2">
        <v>1</v>
      </c>
      <c r="K829">
        <f t="shared" si="84"/>
        <v>12.886118939701717</v>
      </c>
      <c r="L829">
        <f t="shared" si="85"/>
        <v>27.200837216626923</v>
      </c>
      <c r="M829">
        <f t="shared" si="86"/>
        <v>6.0701102440406483E-7</v>
      </c>
      <c r="N829">
        <f t="shared" si="87"/>
        <v>0.99999939298897567</v>
      </c>
      <c r="O829">
        <f t="shared" si="88"/>
        <v>0.99999939298897567</v>
      </c>
      <c r="P829">
        <f t="shared" si="89"/>
        <v>-6.070112085651808E-7</v>
      </c>
    </row>
    <row r="830" spans="1:16" x14ac:dyDescent="0.3">
      <c r="A830" s="2">
        <f t="shared" si="90"/>
        <v>826</v>
      </c>
      <c r="B830" s="2">
        <v>25</v>
      </c>
      <c r="C830" s="2">
        <v>0.6</v>
      </c>
      <c r="D830" s="2">
        <v>25</v>
      </c>
      <c r="E830" s="2">
        <v>1</v>
      </c>
      <c r="F830" s="2">
        <v>90</v>
      </c>
      <c r="G830" s="2">
        <v>0.8</v>
      </c>
      <c r="H830" s="2">
        <v>20</v>
      </c>
      <c r="I830" s="2">
        <v>0</v>
      </c>
      <c r="J830" s="2">
        <v>1</v>
      </c>
      <c r="K830">
        <f t="shared" si="84"/>
        <v>38.945402608624036</v>
      </c>
      <c r="L830">
        <f t="shared" si="85"/>
        <v>42.649795503483197</v>
      </c>
      <c r="M830">
        <f t="shared" si="86"/>
        <v>2.4023807042735598E-2</v>
      </c>
      <c r="N830">
        <f t="shared" si="87"/>
        <v>0.97597619295726445</v>
      </c>
      <c r="O830">
        <f t="shared" si="88"/>
        <v>0.97597619295726445</v>
      </c>
      <c r="P830">
        <f t="shared" si="89"/>
        <v>-2.4317085328364706E-2</v>
      </c>
    </row>
    <row r="831" spans="1:16" x14ac:dyDescent="0.3">
      <c r="A831" s="2">
        <f t="shared" si="90"/>
        <v>827</v>
      </c>
      <c r="B831" s="2">
        <v>20</v>
      </c>
      <c r="C831" s="2">
        <v>0.6</v>
      </c>
      <c r="D831" s="2">
        <v>15</v>
      </c>
      <c r="E831" s="2">
        <v>1</v>
      </c>
      <c r="F831" s="2">
        <v>90</v>
      </c>
      <c r="G831" s="2">
        <v>1</v>
      </c>
      <c r="H831" s="2">
        <v>40</v>
      </c>
      <c r="I831" s="2">
        <v>1</v>
      </c>
      <c r="J831" s="2">
        <v>0</v>
      </c>
      <c r="K831">
        <f t="shared" si="84"/>
        <v>74.947590427278556</v>
      </c>
      <c r="L831">
        <f t="shared" si="85"/>
        <v>23.651284866254684</v>
      </c>
      <c r="M831">
        <f t="shared" si="86"/>
        <v>1</v>
      </c>
      <c r="N831">
        <f t="shared" si="87"/>
        <v>5.2759121183160969E-23</v>
      </c>
      <c r="O831">
        <f t="shared" si="88"/>
        <v>1</v>
      </c>
      <c r="P831">
        <f t="shared" si="89"/>
        <v>0</v>
      </c>
    </row>
    <row r="832" spans="1:16" x14ac:dyDescent="0.3">
      <c r="A832" s="2">
        <f t="shared" si="90"/>
        <v>828</v>
      </c>
      <c r="B832" s="2">
        <v>20</v>
      </c>
      <c r="C832" s="2">
        <v>0.4</v>
      </c>
      <c r="D832" s="2">
        <v>15</v>
      </c>
      <c r="E832" s="2">
        <v>1</v>
      </c>
      <c r="F832" s="2">
        <v>90</v>
      </c>
      <c r="G832" s="2">
        <v>0.8</v>
      </c>
      <c r="H832" s="2">
        <v>10</v>
      </c>
      <c r="I832" s="2">
        <v>0</v>
      </c>
      <c r="J832" s="2">
        <v>1</v>
      </c>
      <c r="K832">
        <f t="shared" si="84"/>
        <v>19.528885066709069</v>
      </c>
      <c r="L832">
        <f t="shared" si="85"/>
        <v>27.200837216626923</v>
      </c>
      <c r="M832">
        <f t="shared" si="86"/>
        <v>4.6549102149150742E-4</v>
      </c>
      <c r="N832">
        <f t="shared" si="87"/>
        <v>0.99953450897850848</v>
      </c>
      <c r="O832">
        <f t="shared" si="88"/>
        <v>0.99953450897850848</v>
      </c>
      <c r="P832">
        <f t="shared" si="89"/>
        <v>-4.6559939606996033E-4</v>
      </c>
    </row>
    <row r="833" spans="1:16" x14ac:dyDescent="0.3">
      <c r="A833" s="2">
        <f t="shared" si="90"/>
        <v>829</v>
      </c>
      <c r="B833" s="2">
        <v>15</v>
      </c>
      <c r="C833" s="2">
        <v>0.4</v>
      </c>
      <c r="D833" s="2">
        <v>15</v>
      </c>
      <c r="E833" s="2">
        <v>1</v>
      </c>
      <c r="F833" s="2">
        <v>60</v>
      </c>
      <c r="G833" s="2">
        <v>0.9</v>
      </c>
      <c r="H833" s="2">
        <v>10</v>
      </c>
      <c r="I833" s="2">
        <v>0</v>
      </c>
      <c r="J833" s="2">
        <v>1</v>
      </c>
      <c r="K833">
        <f t="shared" si="84"/>
        <v>14.301542572289428</v>
      </c>
      <c r="L833">
        <f t="shared" si="85"/>
        <v>25.884992737241895</v>
      </c>
      <c r="M833">
        <f t="shared" si="86"/>
        <v>9.3189603682829974E-6</v>
      </c>
      <c r="N833">
        <f t="shared" si="87"/>
        <v>0.99999068103963173</v>
      </c>
      <c r="O833">
        <f t="shared" si="88"/>
        <v>0.99999068103963173</v>
      </c>
      <c r="P833">
        <f t="shared" si="89"/>
        <v>-9.3190037900462307E-6</v>
      </c>
    </row>
    <row r="834" spans="1:16" x14ac:dyDescent="0.3">
      <c r="A834" s="2">
        <f t="shared" si="90"/>
        <v>830</v>
      </c>
      <c r="B834" s="2">
        <v>25</v>
      </c>
      <c r="C834" s="2">
        <v>0.6</v>
      </c>
      <c r="D834" s="2">
        <v>20</v>
      </c>
      <c r="E834" s="2">
        <v>1</v>
      </c>
      <c r="F834" s="2">
        <v>90</v>
      </c>
      <c r="G834" s="2">
        <v>0.8</v>
      </c>
      <c r="H834" s="2">
        <v>10</v>
      </c>
      <c r="I834" s="2">
        <v>0</v>
      </c>
      <c r="J834" s="2">
        <v>1</v>
      </c>
      <c r="K834">
        <f t="shared" si="84"/>
        <v>19.528885066709069</v>
      </c>
      <c r="L834">
        <f t="shared" si="85"/>
        <v>33.808462424561448</v>
      </c>
      <c r="M834">
        <f t="shared" si="86"/>
        <v>6.2872115924428229E-7</v>
      </c>
      <c r="N834">
        <f t="shared" si="87"/>
        <v>0.99999937127884087</v>
      </c>
      <c r="O834">
        <f t="shared" si="88"/>
        <v>0.99999937127884087</v>
      </c>
      <c r="P834">
        <f t="shared" si="89"/>
        <v>-6.2872135678015703E-7</v>
      </c>
    </row>
    <row r="835" spans="1:16" x14ac:dyDescent="0.3">
      <c r="A835" s="2">
        <f t="shared" si="90"/>
        <v>831</v>
      </c>
      <c r="B835" s="2">
        <v>20</v>
      </c>
      <c r="C835" s="2">
        <v>0.8</v>
      </c>
      <c r="D835" s="2">
        <v>20</v>
      </c>
      <c r="E835" s="2">
        <v>1</v>
      </c>
      <c r="F835" s="2">
        <v>90</v>
      </c>
      <c r="G835" s="2">
        <v>0.8</v>
      </c>
      <c r="H835" s="2">
        <v>40</v>
      </c>
      <c r="I835" s="2">
        <v>1</v>
      </c>
      <c r="J835" s="2">
        <v>0</v>
      </c>
      <c r="K835">
        <f t="shared" si="84"/>
        <v>77.778437692453977</v>
      </c>
      <c r="L835">
        <f t="shared" si="85"/>
        <v>28.943065594804185</v>
      </c>
      <c r="M835">
        <f t="shared" si="86"/>
        <v>1</v>
      </c>
      <c r="N835">
        <f t="shared" si="87"/>
        <v>6.181122864308693E-22</v>
      </c>
      <c r="O835">
        <f t="shared" si="88"/>
        <v>1</v>
      </c>
      <c r="P835">
        <f t="shared" si="89"/>
        <v>0</v>
      </c>
    </row>
    <row r="836" spans="1:16" x14ac:dyDescent="0.3">
      <c r="A836" s="2">
        <f t="shared" si="90"/>
        <v>832</v>
      </c>
      <c r="B836" s="2">
        <v>25</v>
      </c>
      <c r="C836" s="2">
        <v>0.4</v>
      </c>
      <c r="D836" s="2">
        <v>25</v>
      </c>
      <c r="E836" s="2">
        <v>1</v>
      </c>
      <c r="F836" s="2">
        <v>45</v>
      </c>
      <c r="G836" s="2">
        <v>0.9</v>
      </c>
      <c r="H836" s="2">
        <v>10</v>
      </c>
      <c r="I836" s="2">
        <v>0</v>
      </c>
      <c r="J836" s="2">
        <v>1</v>
      </c>
      <c r="K836">
        <f t="shared" si="84"/>
        <v>12.395583141373463</v>
      </c>
      <c r="L836">
        <f t="shared" si="85"/>
        <v>46.199347853855429</v>
      </c>
      <c r="M836">
        <f t="shared" si="86"/>
        <v>2.0855063561420589E-15</v>
      </c>
      <c r="N836">
        <f t="shared" si="87"/>
        <v>0.99999999999999789</v>
      </c>
      <c r="O836">
        <f t="shared" si="88"/>
        <v>0.99999999999999789</v>
      </c>
      <c r="P836">
        <f t="shared" si="89"/>
        <v>-2.1094237467877998E-15</v>
      </c>
    </row>
    <row r="837" spans="1:16" x14ac:dyDescent="0.3">
      <c r="A837" s="2">
        <f t="shared" si="90"/>
        <v>833</v>
      </c>
      <c r="B837" s="2">
        <v>20</v>
      </c>
      <c r="C837" s="2">
        <v>0.6</v>
      </c>
      <c r="D837" s="2">
        <v>25</v>
      </c>
      <c r="E837" s="2">
        <v>1</v>
      </c>
      <c r="F837" s="2">
        <v>90</v>
      </c>
      <c r="G837" s="2">
        <v>0.8</v>
      </c>
      <c r="H837" s="2">
        <v>40</v>
      </c>
      <c r="I837" s="2">
        <v>1</v>
      </c>
      <c r="J837" s="2">
        <v>0</v>
      </c>
      <c r="K837">
        <f t="shared" si="84"/>
        <v>77.778437692453977</v>
      </c>
      <c r="L837">
        <f t="shared" si="85"/>
        <v>41.33395102409817</v>
      </c>
      <c r="M837">
        <f t="shared" si="86"/>
        <v>0.99999999999999978</v>
      </c>
      <c r="N837">
        <f t="shared" si="87"/>
        <v>1.4871697538181265E-16</v>
      </c>
      <c r="O837">
        <f t="shared" si="88"/>
        <v>0.99999999999999978</v>
      </c>
      <c r="P837">
        <f t="shared" si="89"/>
        <v>-2.2204460492503131E-16</v>
      </c>
    </row>
    <row r="838" spans="1:16" x14ac:dyDescent="0.3">
      <c r="A838" s="2">
        <f t="shared" si="90"/>
        <v>834</v>
      </c>
      <c r="B838" s="2">
        <v>15</v>
      </c>
      <c r="C838" s="2">
        <v>0.4</v>
      </c>
      <c r="D838" s="2">
        <v>15</v>
      </c>
      <c r="E838" s="2">
        <v>1</v>
      </c>
      <c r="F838" s="2">
        <v>60</v>
      </c>
      <c r="G838" s="2">
        <v>0.8</v>
      </c>
      <c r="H838" s="2">
        <v>40</v>
      </c>
      <c r="I838" s="2">
        <v>1</v>
      </c>
      <c r="J838" s="2">
        <v>0</v>
      </c>
      <c r="K838">
        <f t="shared" ref="K838:K901" si="91">$F$3*F838+$G$3*G838+$H$3*H838</f>
        <v>73.96651883062205</v>
      </c>
      <c r="L838">
        <f t="shared" ref="L838:L901" si="92">$B$3*B838+$C$3*C838+$D$3*D838+$E$3*E838</f>
        <v>25.884992737241895</v>
      </c>
      <c r="M838">
        <f t="shared" ref="M838:M901" si="93">EXP(K838)/(EXP(K838)+EXP(L838))</f>
        <v>1</v>
      </c>
      <c r="N838">
        <f t="shared" ref="N838:N901" si="94">EXP(L838)/(EXP(L838)+EXP(K838))</f>
        <v>1.3135860756232028E-21</v>
      </c>
      <c r="O838">
        <f t="shared" ref="O838:O901" si="95">I838*M838+J838*N838</f>
        <v>1</v>
      </c>
      <c r="P838">
        <f t="shared" ref="P838:P901" si="96">LN(O838)</f>
        <v>0</v>
      </c>
    </row>
    <row r="839" spans="1:16" x14ac:dyDescent="0.3">
      <c r="A839" s="2">
        <f t="shared" ref="A839:A902" si="97">A838+1</f>
        <v>835</v>
      </c>
      <c r="B839" s="2">
        <v>25</v>
      </c>
      <c r="C839" s="2">
        <v>0.8</v>
      </c>
      <c r="D839" s="2">
        <v>20</v>
      </c>
      <c r="E839" s="2">
        <v>1</v>
      </c>
      <c r="F839" s="2">
        <v>60</v>
      </c>
      <c r="G839" s="2">
        <v>0.8</v>
      </c>
      <c r="H839" s="2">
        <v>40</v>
      </c>
      <c r="I839" s="2">
        <v>1</v>
      </c>
      <c r="J839" s="2">
        <v>0</v>
      </c>
      <c r="K839">
        <f t="shared" si="91"/>
        <v>73.96651883062205</v>
      </c>
      <c r="L839">
        <f t="shared" si="92"/>
        <v>30.258910074189213</v>
      </c>
      <c r="M839">
        <f t="shared" si="93"/>
        <v>1</v>
      </c>
      <c r="N839">
        <f t="shared" si="94"/>
        <v>1.0423815117672131E-19</v>
      </c>
      <c r="O839">
        <f t="shared" si="95"/>
        <v>1</v>
      </c>
      <c r="P839">
        <f t="shared" si="96"/>
        <v>0</v>
      </c>
    </row>
    <row r="840" spans="1:16" x14ac:dyDescent="0.3">
      <c r="A840" s="2">
        <f t="shared" si="97"/>
        <v>836</v>
      </c>
      <c r="B840" s="2">
        <v>25</v>
      </c>
      <c r="C840" s="2">
        <v>0.4</v>
      </c>
      <c r="D840" s="2">
        <v>15</v>
      </c>
      <c r="E840" s="2">
        <v>1</v>
      </c>
      <c r="F840" s="2">
        <v>60</v>
      </c>
      <c r="G840" s="2">
        <v>1</v>
      </c>
      <c r="H840" s="2">
        <v>10</v>
      </c>
      <c r="I840" s="2">
        <v>0</v>
      </c>
      <c r="J840" s="2">
        <v>1</v>
      </c>
      <c r="K840">
        <f t="shared" si="91"/>
        <v>12.886118939701717</v>
      </c>
      <c r="L840">
        <f t="shared" si="92"/>
        <v>28.51668169601195</v>
      </c>
      <c r="M840">
        <f t="shared" si="93"/>
        <v>1.6282938222914318E-7</v>
      </c>
      <c r="N840">
        <f t="shared" si="94"/>
        <v>0.99999983717061769</v>
      </c>
      <c r="O840">
        <f t="shared" si="95"/>
        <v>0.99999983717061769</v>
      </c>
      <c r="P840">
        <f t="shared" si="96"/>
        <v>-1.6282939556753043E-7</v>
      </c>
    </row>
    <row r="841" spans="1:16" x14ac:dyDescent="0.3">
      <c r="A841" s="2">
        <f t="shared" si="97"/>
        <v>837</v>
      </c>
      <c r="B841" s="2">
        <v>25</v>
      </c>
      <c r="C841" s="2">
        <v>0.6</v>
      </c>
      <c r="D841" s="2">
        <v>25</v>
      </c>
      <c r="E841" s="2">
        <v>1</v>
      </c>
      <c r="F841" s="2">
        <v>60</v>
      </c>
      <c r="G841" s="2">
        <v>1</v>
      </c>
      <c r="H841" s="2">
        <v>10</v>
      </c>
      <c r="I841" s="2">
        <v>0</v>
      </c>
      <c r="J841" s="2">
        <v>1</v>
      </c>
      <c r="K841">
        <f t="shared" si="91"/>
        <v>12.886118939701717</v>
      </c>
      <c r="L841">
        <f t="shared" si="92"/>
        <v>42.649795503483197</v>
      </c>
      <c r="M841">
        <f t="shared" si="93"/>
        <v>1.1852214622981186E-13</v>
      </c>
      <c r="N841">
        <f t="shared" si="94"/>
        <v>0.99999999999988154</v>
      </c>
      <c r="O841">
        <f t="shared" si="95"/>
        <v>0.99999999999988154</v>
      </c>
      <c r="P841">
        <f t="shared" si="96"/>
        <v>-1.1846079672751122E-13</v>
      </c>
    </row>
    <row r="842" spans="1:16" x14ac:dyDescent="0.3">
      <c r="A842" s="2">
        <f t="shared" si="97"/>
        <v>838</v>
      </c>
      <c r="B842" s="2">
        <v>20</v>
      </c>
      <c r="C842" s="2">
        <v>0.6</v>
      </c>
      <c r="D842" s="2">
        <v>15</v>
      </c>
      <c r="E842" s="2">
        <v>1</v>
      </c>
      <c r="F842" s="2">
        <v>90</v>
      </c>
      <c r="G842" s="2">
        <v>1</v>
      </c>
      <c r="H842" s="2">
        <v>40</v>
      </c>
      <c r="I842" s="2">
        <v>1</v>
      </c>
      <c r="J842" s="2">
        <v>0</v>
      </c>
      <c r="K842">
        <f t="shared" si="91"/>
        <v>74.947590427278556</v>
      </c>
      <c r="L842">
        <f t="shared" si="92"/>
        <v>23.651284866254684</v>
      </c>
      <c r="M842">
        <f t="shared" si="93"/>
        <v>1</v>
      </c>
      <c r="N842">
        <f t="shared" si="94"/>
        <v>5.2759121183160969E-23</v>
      </c>
      <c r="O842">
        <f t="shared" si="95"/>
        <v>1</v>
      </c>
      <c r="P842">
        <f t="shared" si="96"/>
        <v>0</v>
      </c>
    </row>
    <row r="843" spans="1:16" x14ac:dyDescent="0.3">
      <c r="A843" s="2">
        <f t="shared" si="97"/>
        <v>839</v>
      </c>
      <c r="B843" s="2">
        <v>20</v>
      </c>
      <c r="C843" s="2">
        <v>0.8</v>
      </c>
      <c r="D843" s="2">
        <v>25</v>
      </c>
      <c r="E843" s="2">
        <v>1</v>
      </c>
      <c r="F843" s="2">
        <v>45</v>
      </c>
      <c r="G843" s="2">
        <v>1</v>
      </c>
      <c r="H843" s="2">
        <v>40</v>
      </c>
      <c r="I843" s="2">
        <v>1</v>
      </c>
      <c r="J843" s="2">
        <v>0</v>
      </c>
      <c r="K843">
        <f t="shared" si="91"/>
        <v>69.229712134530658</v>
      </c>
      <c r="L843">
        <f t="shared" si="92"/>
        <v>37.784398673725924</v>
      </c>
      <c r="M843">
        <f t="shared" si="93"/>
        <v>0.99999999999997802</v>
      </c>
      <c r="N843">
        <f t="shared" si="94"/>
        <v>2.2053315074473295E-14</v>
      </c>
      <c r="O843">
        <f t="shared" si="95"/>
        <v>0.99999999999997802</v>
      </c>
      <c r="P843">
        <f t="shared" si="96"/>
        <v>-2.1982415887578342E-14</v>
      </c>
    </row>
    <row r="844" spans="1:16" x14ac:dyDescent="0.3">
      <c r="A844" s="2">
        <f t="shared" si="97"/>
        <v>840</v>
      </c>
      <c r="B844" s="2">
        <v>25</v>
      </c>
      <c r="C844" s="2">
        <v>0.8</v>
      </c>
      <c r="D844" s="2">
        <v>20</v>
      </c>
      <c r="E844" s="2">
        <v>1</v>
      </c>
      <c r="F844" s="2">
        <v>90</v>
      </c>
      <c r="G844" s="2">
        <v>1</v>
      </c>
      <c r="H844" s="2">
        <v>10</v>
      </c>
      <c r="I844" s="2">
        <v>0</v>
      </c>
      <c r="J844" s="2">
        <v>1</v>
      </c>
      <c r="K844">
        <f t="shared" si="91"/>
        <v>16.698037801533648</v>
      </c>
      <c r="L844">
        <f t="shared" si="92"/>
        <v>30.258910074189213</v>
      </c>
      <c r="M844">
        <f t="shared" si="93"/>
        <v>1.2899932622715292E-6</v>
      </c>
      <c r="N844">
        <f t="shared" si="94"/>
        <v>0.99999871000673768</v>
      </c>
      <c r="O844">
        <f t="shared" si="95"/>
        <v>0.99999871000673768</v>
      </c>
      <c r="P844">
        <f t="shared" si="96"/>
        <v>-1.289994094363178E-6</v>
      </c>
    </row>
    <row r="845" spans="1:16" x14ac:dyDescent="0.3">
      <c r="A845" s="2">
        <f t="shared" si="97"/>
        <v>841</v>
      </c>
      <c r="B845" s="2">
        <v>20</v>
      </c>
      <c r="C845" s="2">
        <v>0.4</v>
      </c>
      <c r="D845" s="2">
        <v>20</v>
      </c>
      <c r="E845" s="2">
        <v>1</v>
      </c>
      <c r="F845" s="2">
        <v>60</v>
      </c>
      <c r="G845" s="2">
        <v>0.8</v>
      </c>
      <c r="H845" s="2">
        <v>20</v>
      </c>
      <c r="I845" s="2">
        <v>1</v>
      </c>
      <c r="J845" s="2">
        <v>0</v>
      </c>
      <c r="K845">
        <f t="shared" si="91"/>
        <v>35.133483746792109</v>
      </c>
      <c r="L845">
        <f t="shared" si="92"/>
        <v>36.042170295548658</v>
      </c>
      <c r="M845">
        <f t="shared" si="93"/>
        <v>0.28726868517373011</v>
      </c>
      <c r="N845">
        <f t="shared" si="94"/>
        <v>0.71273131482626984</v>
      </c>
      <c r="O845">
        <f t="shared" si="95"/>
        <v>0.28726868517373011</v>
      </c>
      <c r="P845">
        <f t="shared" si="96"/>
        <v>-1.2473373158963166</v>
      </c>
    </row>
    <row r="846" spans="1:16" x14ac:dyDescent="0.3">
      <c r="A846" s="2">
        <f t="shared" si="97"/>
        <v>842</v>
      </c>
      <c r="B846" s="2">
        <v>15</v>
      </c>
      <c r="C846" s="2">
        <v>0.6</v>
      </c>
      <c r="D846" s="2">
        <v>20</v>
      </c>
      <c r="E846" s="2">
        <v>1</v>
      </c>
      <c r="F846" s="2">
        <v>60</v>
      </c>
      <c r="G846" s="2">
        <v>1</v>
      </c>
      <c r="H846" s="2">
        <v>10</v>
      </c>
      <c r="I846" s="2">
        <v>0</v>
      </c>
      <c r="J846" s="2">
        <v>1</v>
      </c>
      <c r="K846">
        <f t="shared" si="91"/>
        <v>12.886118939701717</v>
      </c>
      <c r="L846">
        <f t="shared" si="92"/>
        <v>31.176773465791396</v>
      </c>
      <c r="M846">
        <f t="shared" si="93"/>
        <v>1.1388582283922244E-8</v>
      </c>
      <c r="N846">
        <f t="shared" si="94"/>
        <v>0.9999999886114177</v>
      </c>
      <c r="O846">
        <f t="shared" si="95"/>
        <v>0.9999999886114177</v>
      </c>
      <c r="P846">
        <f t="shared" si="96"/>
        <v>-1.1388582364281864E-8</v>
      </c>
    </row>
    <row r="847" spans="1:16" x14ac:dyDescent="0.3">
      <c r="A847" s="2">
        <f t="shared" si="97"/>
        <v>843</v>
      </c>
      <c r="B847" s="2">
        <v>15</v>
      </c>
      <c r="C847" s="2">
        <v>0.4</v>
      </c>
      <c r="D847" s="2">
        <v>15</v>
      </c>
      <c r="E847" s="2">
        <v>1</v>
      </c>
      <c r="F847" s="2">
        <v>90</v>
      </c>
      <c r="G847" s="2">
        <v>0.9</v>
      </c>
      <c r="H847" s="2">
        <v>20</v>
      </c>
      <c r="I847" s="2">
        <v>1</v>
      </c>
      <c r="J847" s="2">
        <v>0</v>
      </c>
      <c r="K847">
        <f t="shared" si="91"/>
        <v>37.529978976036332</v>
      </c>
      <c r="L847">
        <f t="shared" si="92"/>
        <v>25.884992737241895</v>
      </c>
      <c r="M847">
        <f t="shared" si="93"/>
        <v>0.9999912371994063</v>
      </c>
      <c r="N847">
        <f t="shared" si="94"/>
        <v>8.7628005936941038E-6</v>
      </c>
      <c r="O847">
        <f t="shared" si="95"/>
        <v>0.9999912371994063</v>
      </c>
      <c r="P847">
        <f t="shared" si="96"/>
        <v>-8.7628389872593524E-6</v>
      </c>
    </row>
    <row r="848" spans="1:16" x14ac:dyDescent="0.3">
      <c r="A848" s="2">
        <f t="shared" si="97"/>
        <v>844</v>
      </c>
      <c r="B848" s="2">
        <v>20</v>
      </c>
      <c r="C848" s="2">
        <v>0.4</v>
      </c>
      <c r="D848" s="2">
        <v>20</v>
      </c>
      <c r="E848" s="2">
        <v>1</v>
      </c>
      <c r="F848" s="2">
        <v>60</v>
      </c>
      <c r="G848" s="2">
        <v>0.9</v>
      </c>
      <c r="H848" s="2">
        <v>20</v>
      </c>
      <c r="I848" s="2">
        <v>0</v>
      </c>
      <c r="J848" s="2">
        <v>1</v>
      </c>
      <c r="K848">
        <f t="shared" si="91"/>
        <v>33.718060114204398</v>
      </c>
      <c r="L848">
        <f t="shared" si="92"/>
        <v>36.042170295548658</v>
      </c>
      <c r="M848">
        <f t="shared" si="93"/>
        <v>8.9145753522598167E-2</v>
      </c>
      <c r="N848">
        <f t="shared" si="94"/>
        <v>0.91085424647740187</v>
      </c>
      <c r="O848">
        <f t="shared" si="95"/>
        <v>0.91085424647740187</v>
      </c>
      <c r="P848">
        <f t="shared" si="96"/>
        <v>-9.337238741219582E-2</v>
      </c>
    </row>
    <row r="849" spans="1:16" x14ac:dyDescent="0.3">
      <c r="A849" s="2">
        <f t="shared" si="97"/>
        <v>845</v>
      </c>
      <c r="B849" s="2">
        <v>20</v>
      </c>
      <c r="C849" s="2">
        <v>0.4</v>
      </c>
      <c r="D849" s="2">
        <v>25</v>
      </c>
      <c r="E849" s="2">
        <v>1</v>
      </c>
      <c r="F849" s="2">
        <v>45</v>
      </c>
      <c r="G849" s="2">
        <v>1</v>
      </c>
      <c r="H849" s="2">
        <v>10</v>
      </c>
      <c r="I849" s="2">
        <v>0</v>
      </c>
      <c r="J849" s="2">
        <v>1</v>
      </c>
      <c r="K849">
        <f t="shared" si="91"/>
        <v>10.980159508785752</v>
      </c>
      <c r="L849">
        <f t="shared" si="92"/>
        <v>44.883503374470401</v>
      </c>
      <c r="M849">
        <f t="shared" si="93"/>
        <v>1.8878385102240406E-15</v>
      </c>
      <c r="N849">
        <f t="shared" si="94"/>
        <v>0.99999999999999811</v>
      </c>
      <c r="O849">
        <f t="shared" si="95"/>
        <v>0.99999999999999811</v>
      </c>
      <c r="P849">
        <f t="shared" si="96"/>
        <v>-1.8873791418627681E-15</v>
      </c>
    </row>
    <row r="850" spans="1:16" x14ac:dyDescent="0.3">
      <c r="A850" s="2">
        <f t="shared" si="97"/>
        <v>846</v>
      </c>
      <c r="B850" s="2">
        <v>25</v>
      </c>
      <c r="C850" s="2">
        <v>0.6</v>
      </c>
      <c r="D850" s="2">
        <v>25</v>
      </c>
      <c r="E850" s="2">
        <v>1</v>
      </c>
      <c r="F850" s="2">
        <v>45</v>
      </c>
      <c r="G850" s="2">
        <v>0.8</v>
      </c>
      <c r="H850" s="2">
        <v>40</v>
      </c>
      <c r="I850" s="2">
        <v>1</v>
      </c>
      <c r="J850" s="2">
        <v>0</v>
      </c>
      <c r="K850">
        <f t="shared" si="91"/>
        <v>72.060559399706079</v>
      </c>
      <c r="L850">
        <f t="shared" si="92"/>
        <v>42.649795503483197</v>
      </c>
      <c r="M850">
        <f t="shared" si="93"/>
        <v>0.99999999999983136</v>
      </c>
      <c r="N850">
        <f t="shared" si="94"/>
        <v>1.6868152990236657E-13</v>
      </c>
      <c r="O850">
        <f t="shared" si="95"/>
        <v>0.99999999999983136</v>
      </c>
      <c r="P850">
        <f t="shared" si="96"/>
        <v>-1.6864287744057549E-13</v>
      </c>
    </row>
    <row r="851" spans="1:16" x14ac:dyDescent="0.3">
      <c r="A851" s="2">
        <f t="shared" si="97"/>
        <v>847</v>
      </c>
      <c r="B851" s="2">
        <v>20</v>
      </c>
      <c r="C851" s="2">
        <v>0.6</v>
      </c>
      <c r="D851" s="2">
        <v>15</v>
      </c>
      <c r="E851" s="2">
        <v>1</v>
      </c>
      <c r="F851" s="2">
        <v>45</v>
      </c>
      <c r="G851" s="2">
        <v>1</v>
      </c>
      <c r="H851" s="2">
        <v>20</v>
      </c>
      <c r="I851" s="2">
        <v>1</v>
      </c>
      <c r="J851" s="2">
        <v>0</v>
      </c>
      <c r="K851">
        <f t="shared" si="91"/>
        <v>30.396677050700724</v>
      </c>
      <c r="L851">
        <f t="shared" si="92"/>
        <v>23.651284866254684</v>
      </c>
      <c r="M851">
        <f t="shared" si="93"/>
        <v>0.99882509475880488</v>
      </c>
      <c r="N851">
        <f t="shared" si="94"/>
        <v>1.1749052411950732E-3</v>
      </c>
      <c r="O851">
        <f t="shared" si="95"/>
        <v>0.99882509475880488</v>
      </c>
      <c r="P851">
        <f t="shared" si="96"/>
        <v>-1.1755959834488189E-3</v>
      </c>
    </row>
    <row r="852" spans="1:16" x14ac:dyDescent="0.3">
      <c r="A852" s="2">
        <f t="shared" si="97"/>
        <v>848</v>
      </c>
      <c r="B852" s="2">
        <v>25</v>
      </c>
      <c r="C852" s="2">
        <v>0.8</v>
      </c>
      <c r="D852" s="2">
        <v>25</v>
      </c>
      <c r="E852" s="2">
        <v>1</v>
      </c>
      <c r="F852" s="2">
        <v>90</v>
      </c>
      <c r="G852" s="2">
        <v>1</v>
      </c>
      <c r="H852" s="2">
        <v>40</v>
      </c>
      <c r="I852" s="2">
        <v>1</v>
      </c>
      <c r="J852" s="2">
        <v>0</v>
      </c>
      <c r="K852">
        <f t="shared" si="91"/>
        <v>74.947590427278556</v>
      </c>
      <c r="L852">
        <f t="shared" si="92"/>
        <v>39.100243153110959</v>
      </c>
      <c r="M852">
        <f t="shared" si="93"/>
        <v>0.99999999999999978</v>
      </c>
      <c r="N852">
        <f t="shared" si="94"/>
        <v>2.7020593749383983E-16</v>
      </c>
      <c r="O852">
        <f t="shared" si="95"/>
        <v>0.99999999999999978</v>
      </c>
      <c r="P852">
        <f t="shared" si="96"/>
        <v>-2.2204460492503131E-16</v>
      </c>
    </row>
    <row r="853" spans="1:16" x14ac:dyDescent="0.3">
      <c r="A853" s="2">
        <f t="shared" si="97"/>
        <v>849</v>
      </c>
      <c r="B853" s="2">
        <v>25</v>
      </c>
      <c r="C853" s="2">
        <v>0.4</v>
      </c>
      <c r="D853" s="2">
        <v>25</v>
      </c>
      <c r="E853" s="2">
        <v>1</v>
      </c>
      <c r="F853" s="2">
        <v>45</v>
      </c>
      <c r="G853" s="2">
        <v>0.9</v>
      </c>
      <c r="H853" s="2">
        <v>20</v>
      </c>
      <c r="I853" s="2">
        <v>0</v>
      </c>
      <c r="J853" s="2">
        <v>1</v>
      </c>
      <c r="K853">
        <f t="shared" si="91"/>
        <v>31.812100683288435</v>
      </c>
      <c r="L853">
        <f t="shared" si="92"/>
        <v>46.199347853855429</v>
      </c>
      <c r="M853">
        <f t="shared" si="93"/>
        <v>5.6454387365454912E-7</v>
      </c>
      <c r="N853">
        <f t="shared" si="94"/>
        <v>0.99999943545612635</v>
      </c>
      <c r="O853">
        <f t="shared" si="95"/>
        <v>0.99999943545612635</v>
      </c>
      <c r="P853">
        <f t="shared" si="96"/>
        <v>-5.6454403300396752E-7</v>
      </c>
    </row>
    <row r="854" spans="1:16" x14ac:dyDescent="0.3">
      <c r="A854" s="2">
        <f t="shared" si="97"/>
        <v>850</v>
      </c>
      <c r="B854" s="2">
        <v>15</v>
      </c>
      <c r="C854" s="2">
        <v>0.4</v>
      </c>
      <c r="D854" s="2">
        <v>25</v>
      </c>
      <c r="E854" s="2">
        <v>1</v>
      </c>
      <c r="F854" s="2">
        <v>60</v>
      </c>
      <c r="G854" s="2">
        <v>0.9</v>
      </c>
      <c r="H854" s="2">
        <v>10</v>
      </c>
      <c r="I854" s="2">
        <v>0</v>
      </c>
      <c r="J854" s="2">
        <v>1</v>
      </c>
      <c r="K854">
        <f t="shared" si="91"/>
        <v>14.301542572289428</v>
      </c>
      <c r="L854">
        <f t="shared" si="92"/>
        <v>43.567658895085373</v>
      </c>
      <c r="M854">
        <f t="shared" si="93"/>
        <v>1.9493381137811154E-13</v>
      </c>
      <c r="N854">
        <f t="shared" si="94"/>
        <v>0.99999999999980504</v>
      </c>
      <c r="O854">
        <f t="shared" si="95"/>
        <v>0.99999999999980504</v>
      </c>
      <c r="P854">
        <f t="shared" si="96"/>
        <v>-1.949551631241965E-13</v>
      </c>
    </row>
    <row r="855" spans="1:16" x14ac:dyDescent="0.3">
      <c r="A855" s="2">
        <f t="shared" si="97"/>
        <v>851</v>
      </c>
      <c r="B855" s="2">
        <v>15</v>
      </c>
      <c r="C855" s="2">
        <v>0.8</v>
      </c>
      <c r="D855" s="2">
        <v>25</v>
      </c>
      <c r="E855" s="2">
        <v>1</v>
      </c>
      <c r="F855" s="2">
        <v>45</v>
      </c>
      <c r="G855" s="2">
        <v>0.8</v>
      </c>
      <c r="H855" s="2">
        <v>20</v>
      </c>
      <c r="I855" s="2">
        <v>0</v>
      </c>
      <c r="J855" s="2">
        <v>1</v>
      </c>
      <c r="K855">
        <f t="shared" si="91"/>
        <v>33.227524315876146</v>
      </c>
      <c r="L855">
        <f t="shared" si="92"/>
        <v>36.468554194340904</v>
      </c>
      <c r="M855">
        <f t="shared" si="93"/>
        <v>3.7650557156219656E-2</v>
      </c>
      <c r="N855">
        <f t="shared" si="94"/>
        <v>0.96234944284378032</v>
      </c>
      <c r="O855">
        <f t="shared" si="95"/>
        <v>0.96234944284378032</v>
      </c>
      <c r="P855">
        <f t="shared" si="96"/>
        <v>-3.8377648075003226E-2</v>
      </c>
    </row>
    <row r="856" spans="1:16" x14ac:dyDescent="0.3">
      <c r="A856" s="2">
        <f t="shared" si="97"/>
        <v>852</v>
      </c>
      <c r="B856" s="2">
        <v>25</v>
      </c>
      <c r="C856" s="2">
        <v>0.6</v>
      </c>
      <c r="D856" s="2">
        <v>20</v>
      </c>
      <c r="E856" s="2">
        <v>1</v>
      </c>
      <c r="F856" s="2">
        <v>45</v>
      </c>
      <c r="G856" s="2">
        <v>1</v>
      </c>
      <c r="H856" s="2">
        <v>20</v>
      </c>
      <c r="I856" s="2">
        <v>0</v>
      </c>
      <c r="J856" s="2">
        <v>1</v>
      </c>
      <c r="K856">
        <f t="shared" si="91"/>
        <v>30.396677050700724</v>
      </c>
      <c r="L856">
        <f t="shared" si="92"/>
        <v>33.808462424561448</v>
      </c>
      <c r="M856">
        <f t="shared" si="93"/>
        <v>3.1929165987933508E-2</v>
      </c>
      <c r="N856">
        <f t="shared" si="94"/>
        <v>0.96807083401206639</v>
      </c>
      <c r="O856">
        <f t="shared" si="95"/>
        <v>0.96807083401206639</v>
      </c>
      <c r="P856">
        <f t="shared" si="96"/>
        <v>-3.245001875046602E-2</v>
      </c>
    </row>
    <row r="857" spans="1:16" x14ac:dyDescent="0.3">
      <c r="A857" s="2">
        <f t="shared" si="97"/>
        <v>853</v>
      </c>
      <c r="B857" s="2">
        <v>20</v>
      </c>
      <c r="C857" s="2">
        <v>0.6</v>
      </c>
      <c r="D857" s="2">
        <v>20</v>
      </c>
      <c r="E857" s="2">
        <v>1</v>
      </c>
      <c r="F857" s="2">
        <v>45</v>
      </c>
      <c r="G857" s="2">
        <v>0.9</v>
      </c>
      <c r="H857" s="2">
        <v>10</v>
      </c>
      <c r="I857" s="2">
        <v>0</v>
      </c>
      <c r="J857" s="2">
        <v>1</v>
      </c>
      <c r="K857">
        <f t="shared" si="91"/>
        <v>12.395583141373463</v>
      </c>
      <c r="L857">
        <f t="shared" si="92"/>
        <v>32.49261794517642</v>
      </c>
      <c r="M857">
        <f t="shared" si="93"/>
        <v>1.8705472428178201E-9</v>
      </c>
      <c r="N857">
        <f t="shared" si="94"/>
        <v>0.99999999812945273</v>
      </c>
      <c r="O857">
        <f t="shared" si="95"/>
        <v>0.99999999812945273</v>
      </c>
      <c r="P857">
        <f t="shared" si="96"/>
        <v>-1.8705472743805024E-9</v>
      </c>
    </row>
    <row r="858" spans="1:16" x14ac:dyDescent="0.3">
      <c r="A858" s="2">
        <f t="shared" si="97"/>
        <v>854</v>
      </c>
      <c r="B858" s="2">
        <v>25</v>
      </c>
      <c r="C858" s="2">
        <v>0.6</v>
      </c>
      <c r="D858" s="2">
        <v>15</v>
      </c>
      <c r="E858" s="2">
        <v>1</v>
      </c>
      <c r="F858" s="2">
        <v>60</v>
      </c>
      <c r="G858" s="2">
        <v>0.8</v>
      </c>
      <c r="H858" s="2">
        <v>40</v>
      </c>
      <c r="I858" s="2">
        <v>1</v>
      </c>
      <c r="J858" s="2">
        <v>0</v>
      </c>
      <c r="K858">
        <f t="shared" si="91"/>
        <v>73.96651883062205</v>
      </c>
      <c r="L858">
        <f t="shared" si="92"/>
        <v>24.967129345639712</v>
      </c>
      <c r="M858">
        <f t="shared" si="93"/>
        <v>1</v>
      </c>
      <c r="N858">
        <f t="shared" si="94"/>
        <v>5.2460875010823887E-22</v>
      </c>
      <c r="O858">
        <f t="shared" si="95"/>
        <v>1</v>
      </c>
      <c r="P858">
        <f t="shared" si="96"/>
        <v>0</v>
      </c>
    </row>
    <row r="859" spans="1:16" x14ac:dyDescent="0.3">
      <c r="A859" s="2">
        <f t="shared" si="97"/>
        <v>855</v>
      </c>
      <c r="B859" s="2">
        <v>25</v>
      </c>
      <c r="C859" s="2">
        <v>0.8</v>
      </c>
      <c r="D859" s="2">
        <v>20</v>
      </c>
      <c r="E859" s="2">
        <v>1</v>
      </c>
      <c r="F859" s="2">
        <v>45</v>
      </c>
      <c r="G859" s="2">
        <v>0.8</v>
      </c>
      <c r="H859" s="2">
        <v>10</v>
      </c>
      <c r="I859" s="2">
        <v>0</v>
      </c>
      <c r="J859" s="2">
        <v>1</v>
      </c>
      <c r="K859">
        <f t="shared" si="91"/>
        <v>13.811006773961173</v>
      </c>
      <c r="L859">
        <f t="shared" si="92"/>
        <v>30.258910074189213</v>
      </c>
      <c r="M859">
        <f t="shared" si="93"/>
        <v>7.1906198053256203E-8</v>
      </c>
      <c r="N859">
        <f t="shared" si="94"/>
        <v>0.99999992809380189</v>
      </c>
      <c r="O859">
        <f t="shared" si="95"/>
        <v>0.99999992809380189</v>
      </c>
      <c r="P859">
        <f t="shared" si="96"/>
        <v>-7.1906200692181011E-8</v>
      </c>
    </row>
    <row r="860" spans="1:16" x14ac:dyDescent="0.3">
      <c r="A860" s="2">
        <f t="shared" si="97"/>
        <v>856</v>
      </c>
      <c r="B860" s="2">
        <v>25</v>
      </c>
      <c r="C860" s="2">
        <v>0.4</v>
      </c>
      <c r="D860" s="2">
        <v>20</v>
      </c>
      <c r="E860" s="2">
        <v>1</v>
      </c>
      <c r="F860" s="2">
        <v>60</v>
      </c>
      <c r="G860" s="2">
        <v>1</v>
      </c>
      <c r="H860" s="2">
        <v>10</v>
      </c>
      <c r="I860" s="2">
        <v>0</v>
      </c>
      <c r="J860" s="2">
        <v>1</v>
      </c>
      <c r="K860">
        <f t="shared" si="91"/>
        <v>12.886118939701717</v>
      </c>
      <c r="L860">
        <f t="shared" si="92"/>
        <v>37.358014774933686</v>
      </c>
      <c r="M860">
        <f t="shared" si="93"/>
        <v>2.3549987287963121E-11</v>
      </c>
      <c r="N860">
        <f t="shared" si="94"/>
        <v>0.99999999997644995</v>
      </c>
      <c r="O860">
        <f t="shared" si="95"/>
        <v>0.99999999997644995</v>
      </c>
      <c r="P860">
        <f t="shared" si="96"/>
        <v>-2.3550050798626123E-11</v>
      </c>
    </row>
    <row r="861" spans="1:16" x14ac:dyDescent="0.3">
      <c r="A861" s="2">
        <f t="shared" si="97"/>
        <v>857</v>
      </c>
      <c r="B861" s="2">
        <v>25</v>
      </c>
      <c r="C861" s="2">
        <v>0.6</v>
      </c>
      <c r="D861" s="2">
        <v>15</v>
      </c>
      <c r="E861" s="2">
        <v>1</v>
      </c>
      <c r="F861" s="2">
        <v>45</v>
      </c>
      <c r="G861" s="2">
        <v>0.9</v>
      </c>
      <c r="H861" s="2">
        <v>40</v>
      </c>
      <c r="I861" s="2">
        <v>1</v>
      </c>
      <c r="J861" s="2">
        <v>0</v>
      </c>
      <c r="K861">
        <f t="shared" si="91"/>
        <v>70.645135767118376</v>
      </c>
      <c r="L861">
        <f t="shared" si="92"/>
        <v>24.967129345639712</v>
      </c>
      <c r="M861">
        <f t="shared" si="93"/>
        <v>1</v>
      </c>
      <c r="N861">
        <f t="shared" si="94"/>
        <v>1.4530945262665075E-20</v>
      </c>
      <c r="O861">
        <f t="shared" si="95"/>
        <v>1</v>
      </c>
      <c r="P861">
        <f t="shared" si="96"/>
        <v>0</v>
      </c>
    </row>
    <row r="862" spans="1:16" x14ac:dyDescent="0.3">
      <c r="A862" s="2">
        <f t="shared" si="97"/>
        <v>858</v>
      </c>
      <c r="B862" s="2">
        <v>25</v>
      </c>
      <c r="C862" s="2">
        <v>0.8</v>
      </c>
      <c r="D862" s="2">
        <v>15</v>
      </c>
      <c r="E862" s="2">
        <v>1</v>
      </c>
      <c r="F862" s="2">
        <v>45</v>
      </c>
      <c r="G862" s="2">
        <v>1</v>
      </c>
      <c r="H862" s="2">
        <v>10</v>
      </c>
      <c r="I862" s="2">
        <v>0</v>
      </c>
      <c r="J862" s="2">
        <v>1</v>
      </c>
      <c r="K862">
        <f t="shared" si="91"/>
        <v>10.980159508785752</v>
      </c>
      <c r="L862">
        <f t="shared" si="92"/>
        <v>21.417576995267474</v>
      </c>
      <c r="M862">
        <f t="shared" si="93"/>
        <v>2.931395718665853E-5</v>
      </c>
      <c r="N862">
        <f t="shared" si="94"/>
        <v>0.99997068604281336</v>
      </c>
      <c r="O862">
        <f t="shared" si="95"/>
        <v>0.99997068604281336</v>
      </c>
      <c r="P862">
        <f t="shared" si="96"/>
        <v>-2.9314386849078268E-5</v>
      </c>
    </row>
    <row r="863" spans="1:16" x14ac:dyDescent="0.3">
      <c r="A863" s="2">
        <f t="shared" si="97"/>
        <v>859</v>
      </c>
      <c r="B863" s="2">
        <v>25</v>
      </c>
      <c r="C863" s="2">
        <v>0.6</v>
      </c>
      <c r="D863" s="2">
        <v>15</v>
      </c>
      <c r="E863" s="2">
        <v>1</v>
      </c>
      <c r="F863" s="2">
        <v>90</v>
      </c>
      <c r="G863" s="2">
        <v>0.8</v>
      </c>
      <c r="H863" s="2">
        <v>10</v>
      </c>
      <c r="I863" s="2">
        <v>0</v>
      </c>
      <c r="J863" s="2">
        <v>1</v>
      </c>
      <c r="K863">
        <f t="shared" si="91"/>
        <v>19.528885066709069</v>
      </c>
      <c r="L863">
        <f t="shared" si="92"/>
        <v>24.967129345639712</v>
      </c>
      <c r="M863">
        <f t="shared" si="93"/>
        <v>4.328293322853E-3</v>
      </c>
      <c r="N863">
        <f t="shared" si="94"/>
        <v>0.99567170667714688</v>
      </c>
      <c r="O863">
        <f t="shared" si="95"/>
        <v>0.99567170667714688</v>
      </c>
      <c r="P863">
        <f t="shared" si="96"/>
        <v>-4.3376875013708283E-3</v>
      </c>
    </row>
    <row r="864" spans="1:16" x14ac:dyDescent="0.3">
      <c r="A864" s="2">
        <f t="shared" si="97"/>
        <v>860</v>
      </c>
      <c r="B864" s="2">
        <v>25</v>
      </c>
      <c r="C864" s="2">
        <v>0.6</v>
      </c>
      <c r="D864" s="2">
        <v>15</v>
      </c>
      <c r="E864" s="2">
        <v>1</v>
      </c>
      <c r="F864" s="2">
        <v>60</v>
      </c>
      <c r="G864" s="2">
        <v>1</v>
      </c>
      <c r="H864" s="2">
        <v>20</v>
      </c>
      <c r="I864" s="2">
        <v>1</v>
      </c>
      <c r="J864" s="2">
        <v>0</v>
      </c>
      <c r="K864">
        <f t="shared" si="91"/>
        <v>32.302636481616688</v>
      </c>
      <c r="L864">
        <f t="shared" si="92"/>
        <v>24.967129345639712</v>
      </c>
      <c r="M864">
        <f t="shared" si="93"/>
        <v>0.9993484516147596</v>
      </c>
      <c r="N864">
        <f t="shared" si="94"/>
        <v>6.5154838524038978E-4</v>
      </c>
      <c r="O864">
        <f t="shared" si="95"/>
        <v>0.9993484516147596</v>
      </c>
      <c r="P864">
        <f t="shared" si="96"/>
        <v>-6.517607351320475E-4</v>
      </c>
    </row>
    <row r="865" spans="1:16" x14ac:dyDescent="0.3">
      <c r="A865" s="2">
        <f t="shared" si="97"/>
        <v>861</v>
      </c>
      <c r="B865" s="2">
        <v>20</v>
      </c>
      <c r="C865" s="2">
        <v>0.6</v>
      </c>
      <c r="D865" s="2">
        <v>25</v>
      </c>
      <c r="E865" s="2">
        <v>1</v>
      </c>
      <c r="F865" s="2">
        <v>60</v>
      </c>
      <c r="G865" s="2">
        <v>0.9</v>
      </c>
      <c r="H865" s="2">
        <v>20</v>
      </c>
      <c r="I865" s="2">
        <v>0</v>
      </c>
      <c r="J865" s="2">
        <v>1</v>
      </c>
      <c r="K865">
        <f t="shared" si="91"/>
        <v>33.718060114204398</v>
      </c>
      <c r="L865">
        <f t="shared" si="92"/>
        <v>41.33395102409817</v>
      </c>
      <c r="M865">
        <f t="shared" si="93"/>
        <v>4.9231916113999595E-4</v>
      </c>
      <c r="N865">
        <f t="shared" si="94"/>
        <v>0.99950768083885999</v>
      </c>
      <c r="O865">
        <f t="shared" si="95"/>
        <v>0.99950768083885999</v>
      </c>
      <c r="P865">
        <f t="shared" si="96"/>
        <v>-4.9244039000871794E-4</v>
      </c>
    </row>
    <row r="866" spans="1:16" x14ac:dyDescent="0.3">
      <c r="A866" s="2">
        <f t="shared" si="97"/>
        <v>862</v>
      </c>
      <c r="B866" s="2">
        <v>25</v>
      </c>
      <c r="C866" s="2">
        <v>0.8</v>
      </c>
      <c r="D866" s="2">
        <v>20</v>
      </c>
      <c r="E866" s="2">
        <v>1</v>
      </c>
      <c r="F866" s="2">
        <v>45</v>
      </c>
      <c r="G866" s="2">
        <v>1</v>
      </c>
      <c r="H866" s="2">
        <v>10</v>
      </c>
      <c r="I866" s="2">
        <v>0</v>
      </c>
      <c r="J866" s="2">
        <v>1</v>
      </c>
      <c r="K866">
        <f t="shared" si="91"/>
        <v>10.980159508785752</v>
      </c>
      <c r="L866">
        <f t="shared" si="92"/>
        <v>30.258910074189213</v>
      </c>
      <c r="M866">
        <f t="shared" si="93"/>
        <v>4.2397964766561731E-9</v>
      </c>
      <c r="N866">
        <f t="shared" si="94"/>
        <v>0.9999999957602036</v>
      </c>
      <c r="O866">
        <f t="shared" si="95"/>
        <v>0.9999999957602036</v>
      </c>
      <c r="P866">
        <f t="shared" si="96"/>
        <v>-4.2397964118374863E-9</v>
      </c>
    </row>
    <row r="867" spans="1:16" x14ac:dyDescent="0.3">
      <c r="A867" s="2">
        <f t="shared" si="97"/>
        <v>863</v>
      </c>
      <c r="B867" s="2">
        <v>15</v>
      </c>
      <c r="C867" s="2">
        <v>0.6</v>
      </c>
      <c r="D867" s="2">
        <v>20</v>
      </c>
      <c r="E867" s="2">
        <v>1</v>
      </c>
      <c r="F867" s="2">
        <v>90</v>
      </c>
      <c r="G867" s="2">
        <v>0.9</v>
      </c>
      <c r="H867" s="2">
        <v>40</v>
      </c>
      <c r="I867" s="2">
        <v>1</v>
      </c>
      <c r="J867" s="2">
        <v>0</v>
      </c>
      <c r="K867">
        <f t="shared" si="91"/>
        <v>76.363014059866273</v>
      </c>
      <c r="L867">
        <f t="shared" si="92"/>
        <v>31.176773465791396</v>
      </c>
      <c r="M867">
        <f t="shared" si="93"/>
        <v>1</v>
      </c>
      <c r="N867">
        <f t="shared" si="94"/>
        <v>2.3761018477729954E-20</v>
      </c>
      <c r="O867">
        <f t="shared" si="95"/>
        <v>1</v>
      </c>
      <c r="P867">
        <f t="shared" si="96"/>
        <v>0</v>
      </c>
    </row>
    <row r="868" spans="1:16" x14ac:dyDescent="0.3">
      <c r="A868" s="2">
        <f t="shared" si="97"/>
        <v>864</v>
      </c>
      <c r="B868" s="2">
        <v>20</v>
      </c>
      <c r="C868" s="2">
        <v>0.4</v>
      </c>
      <c r="D868" s="2">
        <v>20</v>
      </c>
      <c r="E868" s="2">
        <v>1</v>
      </c>
      <c r="F868" s="2">
        <v>60</v>
      </c>
      <c r="G868" s="2">
        <v>0.9</v>
      </c>
      <c r="H868" s="2">
        <v>40</v>
      </c>
      <c r="I868" s="2">
        <v>1</v>
      </c>
      <c r="J868" s="2">
        <v>0</v>
      </c>
      <c r="K868">
        <f t="shared" si="91"/>
        <v>72.551095198034346</v>
      </c>
      <c r="L868">
        <f t="shared" si="92"/>
        <v>36.042170295548658</v>
      </c>
      <c r="M868">
        <f t="shared" si="93"/>
        <v>0.99999999999999989</v>
      </c>
      <c r="N868">
        <f t="shared" si="94"/>
        <v>1.3943614735326636E-16</v>
      </c>
      <c r="O868">
        <f t="shared" si="95"/>
        <v>0.99999999999999989</v>
      </c>
      <c r="P868">
        <f t="shared" si="96"/>
        <v>-1.1102230246251565E-16</v>
      </c>
    </row>
    <row r="869" spans="1:16" x14ac:dyDescent="0.3">
      <c r="A869" s="2">
        <f t="shared" si="97"/>
        <v>865</v>
      </c>
      <c r="B869" s="2">
        <v>25</v>
      </c>
      <c r="C869" s="2">
        <v>0.6</v>
      </c>
      <c r="D869" s="2">
        <v>20</v>
      </c>
      <c r="E869" s="2">
        <v>1</v>
      </c>
      <c r="F869" s="2">
        <v>90</v>
      </c>
      <c r="G869" s="2">
        <v>0.9</v>
      </c>
      <c r="H869" s="2">
        <v>40</v>
      </c>
      <c r="I869" s="2">
        <v>1</v>
      </c>
      <c r="J869" s="2">
        <v>0</v>
      </c>
      <c r="K869">
        <f t="shared" si="91"/>
        <v>76.363014059866273</v>
      </c>
      <c r="L869">
        <f t="shared" si="92"/>
        <v>33.808462424561448</v>
      </c>
      <c r="M869">
        <f t="shared" si="93"/>
        <v>1</v>
      </c>
      <c r="N869">
        <f t="shared" si="94"/>
        <v>3.302121469883905E-19</v>
      </c>
      <c r="O869">
        <f t="shared" si="95"/>
        <v>1</v>
      </c>
      <c r="P869">
        <f t="shared" si="96"/>
        <v>0</v>
      </c>
    </row>
    <row r="870" spans="1:16" x14ac:dyDescent="0.3">
      <c r="A870" s="2">
        <f t="shared" si="97"/>
        <v>866</v>
      </c>
      <c r="B870" s="2">
        <v>20</v>
      </c>
      <c r="C870" s="2">
        <v>0.4</v>
      </c>
      <c r="D870" s="2">
        <v>20</v>
      </c>
      <c r="E870" s="2">
        <v>1</v>
      </c>
      <c r="F870" s="2">
        <v>90</v>
      </c>
      <c r="G870" s="2">
        <v>1</v>
      </c>
      <c r="H870" s="2">
        <v>10</v>
      </c>
      <c r="I870" s="2">
        <v>0</v>
      </c>
      <c r="J870" s="2">
        <v>1</v>
      </c>
      <c r="K870">
        <f t="shared" si="91"/>
        <v>16.698037801533648</v>
      </c>
      <c r="L870">
        <f t="shared" si="92"/>
        <v>36.042170295548658</v>
      </c>
      <c r="M870">
        <f t="shared" si="93"/>
        <v>3.9714582274619936E-9</v>
      </c>
      <c r="N870">
        <f t="shared" si="94"/>
        <v>0.99999999602854184</v>
      </c>
      <c r="O870">
        <f t="shared" si="95"/>
        <v>0.99999999602854184</v>
      </c>
      <c r="P870">
        <f t="shared" si="96"/>
        <v>-3.971458170219148E-9</v>
      </c>
    </row>
    <row r="871" spans="1:16" x14ac:dyDescent="0.3">
      <c r="A871" s="2">
        <f t="shared" si="97"/>
        <v>867</v>
      </c>
      <c r="B871" s="2">
        <v>20</v>
      </c>
      <c r="C871" s="2">
        <v>0.6</v>
      </c>
      <c r="D871" s="2">
        <v>15</v>
      </c>
      <c r="E871" s="2">
        <v>1</v>
      </c>
      <c r="F871" s="2">
        <v>45</v>
      </c>
      <c r="G871" s="2">
        <v>0.9</v>
      </c>
      <c r="H871" s="2">
        <v>10</v>
      </c>
      <c r="I871" s="2">
        <v>0</v>
      </c>
      <c r="J871" s="2">
        <v>1</v>
      </c>
      <c r="K871">
        <f t="shared" si="91"/>
        <v>12.395583141373463</v>
      </c>
      <c r="L871">
        <f t="shared" si="92"/>
        <v>23.651284866254684</v>
      </c>
      <c r="M871">
        <f t="shared" si="93"/>
        <v>1.2933177382341442E-5</v>
      </c>
      <c r="N871">
        <f t="shared" si="94"/>
        <v>0.99998706682261762</v>
      </c>
      <c r="O871">
        <f t="shared" si="95"/>
        <v>0.99998706682261762</v>
      </c>
      <c r="P871">
        <f t="shared" si="96"/>
        <v>-1.2933261016639021E-5</v>
      </c>
    </row>
    <row r="872" spans="1:16" x14ac:dyDescent="0.3">
      <c r="A872" s="2">
        <f t="shared" si="97"/>
        <v>868</v>
      </c>
      <c r="B872" s="2">
        <v>20</v>
      </c>
      <c r="C872" s="2">
        <v>0.6</v>
      </c>
      <c r="D872" s="2">
        <v>25</v>
      </c>
      <c r="E872" s="2">
        <v>1</v>
      </c>
      <c r="F872" s="2">
        <v>90</v>
      </c>
      <c r="G872" s="2">
        <v>0.9</v>
      </c>
      <c r="H872" s="2">
        <v>10</v>
      </c>
      <c r="I872" s="2">
        <v>0</v>
      </c>
      <c r="J872" s="2">
        <v>1</v>
      </c>
      <c r="K872">
        <f t="shared" si="91"/>
        <v>18.113461434121358</v>
      </c>
      <c r="L872">
        <f t="shared" si="92"/>
        <v>41.33395102409817</v>
      </c>
      <c r="M872">
        <f t="shared" si="93"/>
        <v>8.2313203475751203E-11</v>
      </c>
      <c r="N872">
        <f t="shared" si="94"/>
        <v>0.99999999991768684</v>
      </c>
      <c r="O872">
        <f t="shared" si="95"/>
        <v>0.99999999991768684</v>
      </c>
      <c r="P872">
        <f t="shared" si="96"/>
        <v>-8.2313156294423925E-11</v>
      </c>
    </row>
    <row r="873" spans="1:16" x14ac:dyDescent="0.3">
      <c r="A873" s="2">
        <f t="shared" si="97"/>
        <v>869</v>
      </c>
      <c r="B873" s="2">
        <v>20</v>
      </c>
      <c r="C873" s="2">
        <v>0.6</v>
      </c>
      <c r="D873" s="2">
        <v>20</v>
      </c>
      <c r="E873" s="2">
        <v>1</v>
      </c>
      <c r="F873" s="2">
        <v>60</v>
      </c>
      <c r="G873" s="2">
        <v>0.9</v>
      </c>
      <c r="H873" s="2">
        <v>40</v>
      </c>
      <c r="I873" s="2">
        <v>1</v>
      </c>
      <c r="J873" s="2">
        <v>0</v>
      </c>
      <c r="K873">
        <f t="shared" si="91"/>
        <v>72.551095198034346</v>
      </c>
      <c r="L873">
        <f t="shared" si="92"/>
        <v>32.49261794517642</v>
      </c>
      <c r="M873">
        <f t="shared" si="93"/>
        <v>1</v>
      </c>
      <c r="N873">
        <f t="shared" si="94"/>
        <v>4.0070464389183183E-18</v>
      </c>
      <c r="O873">
        <f t="shared" si="95"/>
        <v>1</v>
      </c>
      <c r="P873">
        <f t="shared" si="96"/>
        <v>0</v>
      </c>
    </row>
    <row r="874" spans="1:16" x14ac:dyDescent="0.3">
      <c r="A874" s="2">
        <f t="shared" si="97"/>
        <v>870</v>
      </c>
      <c r="B874" s="2">
        <v>15</v>
      </c>
      <c r="C874" s="2">
        <v>0.8</v>
      </c>
      <c r="D874" s="2">
        <v>25</v>
      </c>
      <c r="E874" s="2">
        <v>1</v>
      </c>
      <c r="F874" s="2">
        <v>60</v>
      </c>
      <c r="G874" s="2">
        <v>1</v>
      </c>
      <c r="H874" s="2">
        <v>10</v>
      </c>
      <c r="I874" s="2">
        <v>0</v>
      </c>
      <c r="J874" s="2">
        <v>1</v>
      </c>
      <c r="K874">
        <f t="shared" si="91"/>
        <v>12.886118939701717</v>
      </c>
      <c r="L874">
        <f t="shared" si="92"/>
        <v>36.468554194340904</v>
      </c>
      <c r="M874">
        <f t="shared" si="93"/>
        <v>5.7316346440598625E-11</v>
      </c>
      <c r="N874">
        <f t="shared" si="94"/>
        <v>0.99999999994268363</v>
      </c>
      <c r="O874">
        <f t="shared" si="95"/>
        <v>0.99999999994268363</v>
      </c>
      <c r="P874">
        <f t="shared" si="96"/>
        <v>-5.7316373870940912E-11</v>
      </c>
    </row>
    <row r="875" spans="1:16" x14ac:dyDescent="0.3">
      <c r="A875" s="2">
        <f t="shared" si="97"/>
        <v>871</v>
      </c>
      <c r="B875" s="2">
        <v>20</v>
      </c>
      <c r="C875" s="2">
        <v>0.8</v>
      </c>
      <c r="D875" s="2">
        <v>20</v>
      </c>
      <c r="E875" s="2">
        <v>1</v>
      </c>
      <c r="F875" s="2">
        <v>90</v>
      </c>
      <c r="G875" s="2">
        <v>1</v>
      </c>
      <c r="H875" s="2">
        <v>40</v>
      </c>
      <c r="I875" s="2">
        <v>1</v>
      </c>
      <c r="J875" s="2">
        <v>0</v>
      </c>
      <c r="K875">
        <f t="shared" si="91"/>
        <v>74.947590427278556</v>
      </c>
      <c r="L875">
        <f t="shared" si="92"/>
        <v>28.943065594804185</v>
      </c>
      <c r="M875">
        <f t="shared" si="93"/>
        <v>1</v>
      </c>
      <c r="N875">
        <f t="shared" si="94"/>
        <v>1.0483075718250252E-20</v>
      </c>
      <c r="O875">
        <f t="shared" si="95"/>
        <v>1</v>
      </c>
      <c r="P875">
        <f t="shared" si="96"/>
        <v>0</v>
      </c>
    </row>
    <row r="876" spans="1:16" x14ac:dyDescent="0.3">
      <c r="A876" s="2">
        <f t="shared" si="97"/>
        <v>872</v>
      </c>
      <c r="B876" s="2">
        <v>20</v>
      </c>
      <c r="C876" s="2">
        <v>0.8</v>
      </c>
      <c r="D876" s="2">
        <v>20</v>
      </c>
      <c r="E876" s="2">
        <v>1</v>
      </c>
      <c r="F876" s="2">
        <v>90</v>
      </c>
      <c r="G876" s="2">
        <v>0.8</v>
      </c>
      <c r="H876" s="2">
        <v>20</v>
      </c>
      <c r="I876" s="2">
        <v>1</v>
      </c>
      <c r="J876" s="2">
        <v>0</v>
      </c>
      <c r="K876">
        <f t="shared" si="91"/>
        <v>38.945402608624036</v>
      </c>
      <c r="L876">
        <f t="shared" si="92"/>
        <v>28.943065594804185</v>
      </c>
      <c r="M876">
        <f t="shared" si="93"/>
        <v>0.99995470809806775</v>
      </c>
      <c r="N876">
        <f t="shared" si="94"/>
        <v>4.5291901932282038E-5</v>
      </c>
      <c r="O876">
        <f t="shared" si="95"/>
        <v>0.99995470809806775</v>
      </c>
      <c r="P876">
        <f t="shared" si="96"/>
        <v>-4.5292927641415281E-5</v>
      </c>
    </row>
    <row r="877" spans="1:16" x14ac:dyDescent="0.3">
      <c r="A877" s="2">
        <f t="shared" si="97"/>
        <v>873</v>
      </c>
      <c r="B877" s="2">
        <v>15</v>
      </c>
      <c r="C877" s="2">
        <v>0.6</v>
      </c>
      <c r="D877" s="2">
        <v>20</v>
      </c>
      <c r="E877" s="2">
        <v>1</v>
      </c>
      <c r="F877" s="2">
        <v>90</v>
      </c>
      <c r="G877" s="2">
        <v>0.8</v>
      </c>
      <c r="H877" s="2">
        <v>20</v>
      </c>
      <c r="I877" s="2">
        <v>1</v>
      </c>
      <c r="J877" s="2">
        <v>0</v>
      </c>
      <c r="K877">
        <f t="shared" si="91"/>
        <v>38.945402608624036</v>
      </c>
      <c r="L877">
        <f t="shared" si="92"/>
        <v>31.176773465791396</v>
      </c>
      <c r="M877">
        <f t="shared" si="93"/>
        <v>0.99957738622012327</v>
      </c>
      <c r="N877">
        <f t="shared" si="94"/>
        <v>4.2261377987669102E-4</v>
      </c>
      <c r="O877">
        <f t="shared" si="95"/>
        <v>0.99957738622012327</v>
      </c>
      <c r="P877">
        <f t="shared" si="96"/>
        <v>-4.2270310624812924E-4</v>
      </c>
    </row>
    <row r="878" spans="1:16" x14ac:dyDescent="0.3">
      <c r="A878" s="2">
        <f t="shared" si="97"/>
        <v>874</v>
      </c>
      <c r="B878" s="2">
        <v>20</v>
      </c>
      <c r="C878" s="2">
        <v>0.6</v>
      </c>
      <c r="D878" s="2">
        <v>25</v>
      </c>
      <c r="E878" s="2">
        <v>1</v>
      </c>
      <c r="F878" s="2">
        <v>60</v>
      </c>
      <c r="G878" s="2">
        <v>0.9</v>
      </c>
      <c r="H878" s="2">
        <v>10</v>
      </c>
      <c r="I878" s="2">
        <v>0</v>
      </c>
      <c r="J878" s="2">
        <v>1</v>
      </c>
      <c r="K878">
        <f t="shared" si="91"/>
        <v>14.301542572289428</v>
      </c>
      <c r="L878">
        <f t="shared" si="92"/>
        <v>41.33395102409817</v>
      </c>
      <c r="M878">
        <f t="shared" si="93"/>
        <v>1.8195926623036139E-12</v>
      </c>
      <c r="N878">
        <f t="shared" si="94"/>
        <v>0.99999999999818046</v>
      </c>
      <c r="O878">
        <f t="shared" si="95"/>
        <v>0.99999999999818046</v>
      </c>
      <c r="P878">
        <f t="shared" si="96"/>
        <v>-1.8195445150598246E-12</v>
      </c>
    </row>
    <row r="879" spans="1:16" x14ac:dyDescent="0.3">
      <c r="A879" s="2">
        <f t="shared" si="97"/>
        <v>875</v>
      </c>
      <c r="B879" s="2">
        <v>20</v>
      </c>
      <c r="C879" s="2">
        <v>0.4</v>
      </c>
      <c r="D879" s="2">
        <v>25</v>
      </c>
      <c r="E879" s="2">
        <v>1</v>
      </c>
      <c r="F879" s="2">
        <v>45</v>
      </c>
      <c r="G879" s="2">
        <v>0.8</v>
      </c>
      <c r="H879" s="2">
        <v>40</v>
      </c>
      <c r="I879" s="2">
        <v>1</v>
      </c>
      <c r="J879" s="2">
        <v>0</v>
      </c>
      <c r="K879">
        <f t="shared" si="91"/>
        <v>72.060559399706079</v>
      </c>
      <c r="L879">
        <f t="shared" si="92"/>
        <v>44.883503374470401</v>
      </c>
      <c r="M879">
        <f t="shared" si="93"/>
        <v>0.99999999999842548</v>
      </c>
      <c r="N879">
        <f t="shared" si="94"/>
        <v>1.574543030306877E-12</v>
      </c>
      <c r="O879">
        <f t="shared" si="95"/>
        <v>0.99999999999842548</v>
      </c>
      <c r="P879">
        <f t="shared" si="96"/>
        <v>-1.5745182935246366E-12</v>
      </c>
    </row>
    <row r="880" spans="1:16" x14ac:dyDescent="0.3">
      <c r="A880" s="2">
        <f t="shared" si="97"/>
        <v>876</v>
      </c>
      <c r="B880" s="2">
        <v>25</v>
      </c>
      <c r="C880" s="2">
        <v>0.6</v>
      </c>
      <c r="D880" s="2">
        <v>15</v>
      </c>
      <c r="E880" s="2">
        <v>1</v>
      </c>
      <c r="F880" s="2">
        <v>60</v>
      </c>
      <c r="G880" s="2">
        <v>0.9</v>
      </c>
      <c r="H880" s="2">
        <v>10</v>
      </c>
      <c r="I880" s="2">
        <v>0</v>
      </c>
      <c r="J880" s="2">
        <v>1</v>
      </c>
      <c r="K880">
        <f t="shared" si="91"/>
        <v>14.301542572289428</v>
      </c>
      <c r="L880">
        <f t="shared" si="92"/>
        <v>24.967129345639712</v>
      </c>
      <c r="M880">
        <f t="shared" si="93"/>
        <v>2.3333741605346111E-5</v>
      </c>
      <c r="N880">
        <f t="shared" si="94"/>
        <v>0.99997666625839476</v>
      </c>
      <c r="O880">
        <f t="shared" si="95"/>
        <v>0.99997666625839476</v>
      </c>
      <c r="P880">
        <f t="shared" si="96"/>
        <v>-2.3334013841219451E-5</v>
      </c>
    </row>
    <row r="881" spans="1:16" x14ac:dyDescent="0.3">
      <c r="A881" s="2">
        <f t="shared" si="97"/>
        <v>877</v>
      </c>
      <c r="B881" s="2">
        <v>20</v>
      </c>
      <c r="C881" s="2">
        <v>0.6</v>
      </c>
      <c r="D881" s="2">
        <v>25</v>
      </c>
      <c r="E881" s="2">
        <v>1</v>
      </c>
      <c r="F881" s="2">
        <v>90</v>
      </c>
      <c r="G881" s="2">
        <v>1</v>
      </c>
      <c r="H881" s="2">
        <v>40</v>
      </c>
      <c r="I881" s="2">
        <v>1</v>
      </c>
      <c r="J881" s="2">
        <v>0</v>
      </c>
      <c r="K881">
        <f t="shared" si="91"/>
        <v>74.947590427278556</v>
      </c>
      <c r="L881">
        <f t="shared" si="92"/>
        <v>41.33395102409817</v>
      </c>
      <c r="M881">
        <f t="shared" si="93"/>
        <v>0.99999999999999756</v>
      </c>
      <c r="N881">
        <f t="shared" si="94"/>
        <v>2.5222137591194113E-15</v>
      </c>
      <c r="O881">
        <f t="shared" si="95"/>
        <v>0.99999999999999756</v>
      </c>
      <c r="P881">
        <f t="shared" si="96"/>
        <v>-2.4424906541753475E-15</v>
      </c>
    </row>
    <row r="882" spans="1:16" x14ac:dyDescent="0.3">
      <c r="A882" s="2">
        <f t="shared" si="97"/>
        <v>878</v>
      </c>
      <c r="B882" s="2">
        <v>25</v>
      </c>
      <c r="C882" s="2">
        <v>0.6</v>
      </c>
      <c r="D882" s="2">
        <v>20</v>
      </c>
      <c r="E882" s="2">
        <v>1</v>
      </c>
      <c r="F882" s="2">
        <v>60</v>
      </c>
      <c r="G882" s="2">
        <v>0.8</v>
      </c>
      <c r="H882" s="2">
        <v>20</v>
      </c>
      <c r="I882" s="2">
        <v>0</v>
      </c>
      <c r="J882" s="2">
        <v>1</v>
      </c>
      <c r="K882">
        <f t="shared" si="91"/>
        <v>35.133483746792109</v>
      </c>
      <c r="L882">
        <f t="shared" si="92"/>
        <v>33.808462424561448</v>
      </c>
      <c r="M882">
        <f t="shared" si="93"/>
        <v>0.790015910609567</v>
      </c>
      <c r="N882">
        <f t="shared" si="94"/>
        <v>0.20998408939043298</v>
      </c>
      <c r="O882">
        <f t="shared" si="95"/>
        <v>0.20998408939043298</v>
      </c>
      <c r="P882">
        <f t="shared" si="96"/>
        <v>-1.5607235159424284</v>
      </c>
    </row>
    <row r="883" spans="1:16" x14ac:dyDescent="0.3">
      <c r="A883" s="2">
        <f t="shared" si="97"/>
        <v>879</v>
      </c>
      <c r="B883" s="2">
        <v>20</v>
      </c>
      <c r="C883" s="2">
        <v>0.8</v>
      </c>
      <c r="D883" s="2">
        <v>25</v>
      </c>
      <c r="E883" s="2">
        <v>1</v>
      </c>
      <c r="F883" s="2">
        <v>60</v>
      </c>
      <c r="G883" s="2">
        <v>0.8</v>
      </c>
      <c r="H883" s="2">
        <v>10</v>
      </c>
      <c r="I883" s="2">
        <v>0</v>
      </c>
      <c r="J883" s="2">
        <v>1</v>
      </c>
      <c r="K883">
        <f t="shared" si="91"/>
        <v>15.716966204877139</v>
      </c>
      <c r="L883">
        <f t="shared" si="92"/>
        <v>37.784398673725924</v>
      </c>
      <c r="M883">
        <f t="shared" si="93"/>
        <v>2.6075692377053859E-10</v>
      </c>
      <c r="N883">
        <f t="shared" si="94"/>
        <v>0.99999999973924314</v>
      </c>
      <c r="O883">
        <f t="shared" si="95"/>
        <v>0.99999999973924314</v>
      </c>
      <c r="P883">
        <f t="shared" si="96"/>
        <v>-2.607568605823805E-10</v>
      </c>
    </row>
    <row r="884" spans="1:16" x14ac:dyDescent="0.3">
      <c r="A884" s="2">
        <f t="shared" si="97"/>
        <v>880</v>
      </c>
      <c r="B884" s="2">
        <v>25</v>
      </c>
      <c r="C884" s="2">
        <v>0.4</v>
      </c>
      <c r="D884" s="2">
        <v>25</v>
      </c>
      <c r="E884" s="2">
        <v>1</v>
      </c>
      <c r="F884" s="2">
        <v>60</v>
      </c>
      <c r="G884" s="2">
        <v>0.8</v>
      </c>
      <c r="H884" s="2">
        <v>20</v>
      </c>
      <c r="I884" s="2">
        <v>0</v>
      </c>
      <c r="J884" s="2">
        <v>1</v>
      </c>
      <c r="K884">
        <f t="shared" si="91"/>
        <v>35.133483746792109</v>
      </c>
      <c r="L884">
        <f t="shared" si="92"/>
        <v>46.199347853855429</v>
      </c>
      <c r="M884">
        <f t="shared" si="93"/>
        <v>1.5636857908155683E-5</v>
      </c>
      <c r="N884">
        <f t="shared" si="94"/>
        <v>0.99998436314209183</v>
      </c>
      <c r="O884">
        <f t="shared" si="95"/>
        <v>0.99998436314209183</v>
      </c>
      <c r="P884">
        <f t="shared" si="96"/>
        <v>-1.5636980165111582E-5</v>
      </c>
    </row>
    <row r="885" spans="1:16" x14ac:dyDescent="0.3">
      <c r="A885" s="2">
        <f t="shared" si="97"/>
        <v>881</v>
      </c>
      <c r="B885" s="2">
        <v>15</v>
      </c>
      <c r="C885" s="2">
        <v>0.6</v>
      </c>
      <c r="D885" s="2">
        <v>15</v>
      </c>
      <c r="E885" s="2">
        <v>1</v>
      </c>
      <c r="F885" s="2">
        <v>45</v>
      </c>
      <c r="G885" s="2">
        <v>1</v>
      </c>
      <c r="H885" s="2">
        <v>20</v>
      </c>
      <c r="I885" s="2">
        <v>1</v>
      </c>
      <c r="J885" s="2">
        <v>0</v>
      </c>
      <c r="K885">
        <f t="shared" si="91"/>
        <v>30.396677050700724</v>
      </c>
      <c r="L885">
        <f t="shared" si="92"/>
        <v>22.335440386869656</v>
      </c>
      <c r="M885">
        <f t="shared" si="93"/>
        <v>0.99968456318025534</v>
      </c>
      <c r="N885">
        <f t="shared" si="94"/>
        <v>3.1543681974472554E-4</v>
      </c>
      <c r="O885">
        <f t="shared" si="95"/>
        <v>0.99968456318025534</v>
      </c>
      <c r="P885">
        <f t="shared" si="96"/>
        <v>-3.1548658040279291E-4</v>
      </c>
    </row>
    <row r="886" spans="1:16" x14ac:dyDescent="0.3">
      <c r="A886" s="2">
        <f t="shared" si="97"/>
        <v>882</v>
      </c>
      <c r="B886" s="2">
        <v>20</v>
      </c>
      <c r="C886" s="2">
        <v>0.4</v>
      </c>
      <c r="D886" s="2">
        <v>25</v>
      </c>
      <c r="E886" s="2">
        <v>1</v>
      </c>
      <c r="F886" s="2">
        <v>60</v>
      </c>
      <c r="G886" s="2">
        <v>0.9</v>
      </c>
      <c r="H886" s="2">
        <v>40</v>
      </c>
      <c r="I886" s="2">
        <v>1</v>
      </c>
      <c r="J886" s="2">
        <v>0</v>
      </c>
      <c r="K886">
        <f t="shared" si="91"/>
        <v>72.551095198034346</v>
      </c>
      <c r="L886">
        <f t="shared" si="92"/>
        <v>44.883503374470401</v>
      </c>
      <c r="M886">
        <f t="shared" si="93"/>
        <v>0.99999999999903588</v>
      </c>
      <c r="N886">
        <f t="shared" si="94"/>
        <v>9.6408992296655675E-13</v>
      </c>
      <c r="O886">
        <f t="shared" si="95"/>
        <v>0.99999999999903588</v>
      </c>
      <c r="P886">
        <f t="shared" si="96"/>
        <v>-9.6411767458495062E-13</v>
      </c>
    </row>
    <row r="887" spans="1:16" x14ac:dyDescent="0.3">
      <c r="A887" s="2">
        <f t="shared" si="97"/>
        <v>883</v>
      </c>
      <c r="B887" s="2">
        <v>25</v>
      </c>
      <c r="C887" s="2">
        <v>0.6</v>
      </c>
      <c r="D887" s="2">
        <v>20</v>
      </c>
      <c r="E887" s="2">
        <v>1</v>
      </c>
      <c r="F887" s="2">
        <v>45</v>
      </c>
      <c r="G887" s="2">
        <v>0.8</v>
      </c>
      <c r="H887" s="2">
        <v>10</v>
      </c>
      <c r="I887" s="2">
        <v>0</v>
      </c>
      <c r="J887" s="2">
        <v>1</v>
      </c>
      <c r="K887">
        <f t="shared" si="91"/>
        <v>13.811006773961173</v>
      </c>
      <c r="L887">
        <f t="shared" si="92"/>
        <v>33.808462424561448</v>
      </c>
      <c r="M887">
        <f t="shared" si="93"/>
        <v>2.0664045904718633E-9</v>
      </c>
      <c r="N887">
        <f t="shared" si="94"/>
        <v>0.99999999793359551</v>
      </c>
      <c r="O887">
        <f t="shared" si="95"/>
        <v>0.99999999793359551</v>
      </c>
      <c r="P887">
        <f t="shared" si="96"/>
        <v>-2.0664044940977284E-9</v>
      </c>
    </row>
    <row r="888" spans="1:16" x14ac:dyDescent="0.3">
      <c r="A888" s="2">
        <f t="shared" si="97"/>
        <v>884</v>
      </c>
      <c r="B888" s="2">
        <v>15</v>
      </c>
      <c r="C888" s="2">
        <v>0.6</v>
      </c>
      <c r="D888" s="2">
        <v>20</v>
      </c>
      <c r="E888" s="2">
        <v>1</v>
      </c>
      <c r="F888" s="2">
        <v>60</v>
      </c>
      <c r="G888" s="2">
        <v>1</v>
      </c>
      <c r="H888" s="2">
        <v>20</v>
      </c>
      <c r="I888" s="2">
        <v>1</v>
      </c>
      <c r="J888" s="2">
        <v>0</v>
      </c>
      <c r="K888">
        <f t="shared" si="91"/>
        <v>32.302636481616688</v>
      </c>
      <c r="L888">
        <f t="shared" si="92"/>
        <v>31.176773465791396</v>
      </c>
      <c r="M888">
        <f t="shared" si="93"/>
        <v>0.75507462550147453</v>
      </c>
      <c r="N888">
        <f t="shared" si="94"/>
        <v>0.24492537449852553</v>
      </c>
      <c r="O888">
        <f t="shared" si="95"/>
        <v>0.75507462550147453</v>
      </c>
      <c r="P888">
        <f t="shared" si="96"/>
        <v>-0.28093869289382634</v>
      </c>
    </row>
    <row r="889" spans="1:16" x14ac:dyDescent="0.3">
      <c r="A889" s="2">
        <f t="shared" si="97"/>
        <v>885</v>
      </c>
      <c r="B889" s="2">
        <v>20</v>
      </c>
      <c r="C889" s="2">
        <v>0.8</v>
      </c>
      <c r="D889" s="2">
        <v>20</v>
      </c>
      <c r="E889" s="2">
        <v>1</v>
      </c>
      <c r="F889" s="2">
        <v>45</v>
      </c>
      <c r="G889" s="2">
        <v>1</v>
      </c>
      <c r="H889" s="2">
        <v>20</v>
      </c>
      <c r="I889" s="2">
        <v>1</v>
      </c>
      <c r="J889" s="2">
        <v>0</v>
      </c>
      <c r="K889">
        <f t="shared" si="91"/>
        <v>30.396677050700724</v>
      </c>
      <c r="L889">
        <f t="shared" si="92"/>
        <v>28.943065594804185</v>
      </c>
      <c r="M889">
        <f t="shared" si="93"/>
        <v>0.81055361839589835</v>
      </c>
      <c r="N889">
        <f t="shared" si="94"/>
        <v>0.18944638160410157</v>
      </c>
      <c r="O889">
        <f t="shared" si="95"/>
        <v>0.81055361839589835</v>
      </c>
      <c r="P889">
        <f t="shared" si="96"/>
        <v>-0.21003778528028444</v>
      </c>
    </row>
    <row r="890" spans="1:16" x14ac:dyDescent="0.3">
      <c r="A890" s="2">
        <f t="shared" si="97"/>
        <v>886</v>
      </c>
      <c r="B890" s="2">
        <v>25</v>
      </c>
      <c r="C890" s="2">
        <v>0.6</v>
      </c>
      <c r="D890" s="2">
        <v>15</v>
      </c>
      <c r="E890" s="2">
        <v>1</v>
      </c>
      <c r="F890" s="2">
        <v>90</v>
      </c>
      <c r="G890" s="2">
        <v>0.8</v>
      </c>
      <c r="H890" s="2">
        <v>10</v>
      </c>
      <c r="I890" s="2">
        <v>0</v>
      </c>
      <c r="J890" s="2">
        <v>1</v>
      </c>
      <c r="K890">
        <f t="shared" si="91"/>
        <v>19.528885066709069</v>
      </c>
      <c r="L890">
        <f t="shared" si="92"/>
        <v>24.967129345639712</v>
      </c>
      <c r="M890">
        <f t="shared" si="93"/>
        <v>4.328293322853E-3</v>
      </c>
      <c r="N890">
        <f t="shared" si="94"/>
        <v>0.99567170667714688</v>
      </c>
      <c r="O890">
        <f t="shared" si="95"/>
        <v>0.99567170667714688</v>
      </c>
      <c r="P890">
        <f t="shared" si="96"/>
        <v>-4.3376875013708283E-3</v>
      </c>
    </row>
    <row r="891" spans="1:16" x14ac:dyDescent="0.3">
      <c r="A891" s="2">
        <f t="shared" si="97"/>
        <v>887</v>
      </c>
      <c r="B891" s="2">
        <v>15</v>
      </c>
      <c r="C891" s="2">
        <v>0.4</v>
      </c>
      <c r="D891" s="2">
        <v>25</v>
      </c>
      <c r="E891" s="2">
        <v>1</v>
      </c>
      <c r="F891" s="2">
        <v>60</v>
      </c>
      <c r="G891" s="2">
        <v>0.9</v>
      </c>
      <c r="H891" s="2">
        <v>40</v>
      </c>
      <c r="I891" s="2">
        <v>1</v>
      </c>
      <c r="J891" s="2">
        <v>0</v>
      </c>
      <c r="K891">
        <f t="shared" si="91"/>
        <v>72.551095198034346</v>
      </c>
      <c r="L891">
        <f t="shared" si="92"/>
        <v>43.567658895085373</v>
      </c>
      <c r="M891">
        <f t="shared" si="93"/>
        <v>0.99999999999974143</v>
      </c>
      <c r="N891">
        <f t="shared" si="94"/>
        <v>2.5861490241566415E-13</v>
      </c>
      <c r="O891">
        <f t="shared" si="95"/>
        <v>0.99999999999974143</v>
      </c>
      <c r="P891">
        <f t="shared" si="96"/>
        <v>-2.5857094243523238E-13</v>
      </c>
    </row>
    <row r="892" spans="1:16" x14ac:dyDescent="0.3">
      <c r="A892" s="2">
        <f t="shared" si="97"/>
        <v>888</v>
      </c>
      <c r="B892" s="2">
        <v>15</v>
      </c>
      <c r="C892" s="2">
        <v>0.8</v>
      </c>
      <c r="D892" s="2">
        <v>20</v>
      </c>
      <c r="E892" s="2">
        <v>1</v>
      </c>
      <c r="F892" s="2">
        <v>90</v>
      </c>
      <c r="G892" s="2">
        <v>0.9</v>
      </c>
      <c r="H892" s="2">
        <v>20</v>
      </c>
      <c r="I892" s="2">
        <v>1</v>
      </c>
      <c r="J892" s="2">
        <v>0</v>
      </c>
      <c r="K892">
        <f t="shared" si="91"/>
        <v>37.529978976036332</v>
      </c>
      <c r="L892">
        <f t="shared" si="92"/>
        <v>27.627221115419157</v>
      </c>
      <c r="M892">
        <f t="shared" si="93"/>
        <v>0.99994996600561536</v>
      </c>
      <c r="N892">
        <f t="shared" si="94"/>
        <v>5.0033994384587875E-5</v>
      </c>
      <c r="O892">
        <f t="shared" si="95"/>
        <v>0.99994996600561536</v>
      </c>
      <c r="P892">
        <f t="shared" si="96"/>
        <v>-5.0035246126685389E-5</v>
      </c>
    </row>
    <row r="893" spans="1:16" x14ac:dyDescent="0.3">
      <c r="A893" s="2">
        <f t="shared" si="97"/>
        <v>889</v>
      </c>
      <c r="B893" s="2">
        <v>15</v>
      </c>
      <c r="C893" s="2">
        <v>0.6</v>
      </c>
      <c r="D893" s="2">
        <v>15</v>
      </c>
      <c r="E893" s="2">
        <v>1</v>
      </c>
      <c r="F893" s="2">
        <v>60</v>
      </c>
      <c r="G893" s="2">
        <v>0.9</v>
      </c>
      <c r="H893" s="2">
        <v>20</v>
      </c>
      <c r="I893" s="2">
        <v>1</v>
      </c>
      <c r="J893" s="2">
        <v>0</v>
      </c>
      <c r="K893">
        <f t="shared" si="91"/>
        <v>33.718060114204398</v>
      </c>
      <c r="L893">
        <f t="shared" si="92"/>
        <v>22.335440386869656</v>
      </c>
      <c r="M893">
        <f t="shared" si="93"/>
        <v>0.99998860836357828</v>
      </c>
      <c r="N893">
        <f t="shared" si="94"/>
        <v>1.1391636421676001E-5</v>
      </c>
      <c r="O893">
        <f t="shared" si="95"/>
        <v>0.99998860836357828</v>
      </c>
      <c r="P893">
        <f t="shared" si="96"/>
        <v>-1.1391701306903312E-5</v>
      </c>
    </row>
    <row r="894" spans="1:16" x14ac:dyDescent="0.3">
      <c r="A894" s="2">
        <f t="shared" si="97"/>
        <v>890</v>
      </c>
      <c r="B894" s="2">
        <v>25</v>
      </c>
      <c r="C894" s="2">
        <v>0.6</v>
      </c>
      <c r="D894" s="2">
        <v>20</v>
      </c>
      <c r="E894" s="2">
        <v>1</v>
      </c>
      <c r="F894" s="2">
        <v>45</v>
      </c>
      <c r="G894" s="2">
        <v>0.9</v>
      </c>
      <c r="H894" s="2">
        <v>40</v>
      </c>
      <c r="I894" s="2">
        <v>1</v>
      </c>
      <c r="J894" s="2">
        <v>0</v>
      </c>
      <c r="K894">
        <f t="shared" si="91"/>
        <v>70.645135767118376</v>
      </c>
      <c r="L894">
        <f t="shared" si="92"/>
        <v>33.808462424561448</v>
      </c>
      <c r="M894">
        <f t="shared" si="93"/>
        <v>0.99999999999999989</v>
      </c>
      <c r="N894">
        <f t="shared" si="94"/>
        <v>1.0046991518945791E-16</v>
      </c>
      <c r="O894">
        <f t="shared" si="95"/>
        <v>0.99999999999999989</v>
      </c>
      <c r="P894">
        <f t="shared" si="96"/>
        <v>-1.1102230246251565E-16</v>
      </c>
    </row>
    <row r="895" spans="1:16" x14ac:dyDescent="0.3">
      <c r="A895" s="2">
        <f t="shared" si="97"/>
        <v>891</v>
      </c>
      <c r="B895" s="2">
        <v>25</v>
      </c>
      <c r="C895" s="2">
        <v>0.8</v>
      </c>
      <c r="D895" s="2">
        <v>15</v>
      </c>
      <c r="E895" s="2">
        <v>1</v>
      </c>
      <c r="F895" s="2">
        <v>60</v>
      </c>
      <c r="G895" s="2">
        <v>1</v>
      </c>
      <c r="H895" s="2">
        <v>10</v>
      </c>
      <c r="I895" s="2">
        <v>0</v>
      </c>
      <c r="J895" s="2">
        <v>1</v>
      </c>
      <c r="K895">
        <f t="shared" si="91"/>
        <v>12.886118939701717</v>
      </c>
      <c r="L895">
        <f t="shared" si="92"/>
        <v>21.417576995267474</v>
      </c>
      <c r="M895">
        <f t="shared" si="93"/>
        <v>1.9712841211954406E-4</v>
      </c>
      <c r="N895">
        <f t="shared" si="94"/>
        <v>0.9998028715878805</v>
      </c>
      <c r="O895">
        <f t="shared" si="95"/>
        <v>0.9998028715878805</v>
      </c>
      <c r="P895">
        <f t="shared" si="96"/>
        <v>-1.9714784447875047E-4</v>
      </c>
    </row>
    <row r="896" spans="1:16" x14ac:dyDescent="0.3">
      <c r="A896" s="2">
        <f t="shared" si="97"/>
        <v>892</v>
      </c>
      <c r="B896" s="2">
        <v>20</v>
      </c>
      <c r="C896" s="2">
        <v>0.8</v>
      </c>
      <c r="D896" s="2">
        <v>20</v>
      </c>
      <c r="E896" s="2">
        <v>1</v>
      </c>
      <c r="F896" s="2">
        <v>45</v>
      </c>
      <c r="G896" s="2">
        <v>0.8</v>
      </c>
      <c r="H896" s="2">
        <v>40</v>
      </c>
      <c r="I896" s="2">
        <v>1</v>
      </c>
      <c r="J896" s="2">
        <v>0</v>
      </c>
      <c r="K896">
        <f t="shared" si="91"/>
        <v>72.060559399706079</v>
      </c>
      <c r="L896">
        <f t="shared" si="92"/>
        <v>28.943065594804185</v>
      </c>
      <c r="M896">
        <f t="shared" si="93"/>
        <v>1</v>
      </c>
      <c r="N896">
        <f t="shared" si="94"/>
        <v>1.8806603440137751E-19</v>
      </c>
      <c r="O896">
        <f t="shared" si="95"/>
        <v>1</v>
      </c>
      <c r="P896">
        <f t="shared" si="96"/>
        <v>0</v>
      </c>
    </row>
    <row r="897" spans="1:16" x14ac:dyDescent="0.3">
      <c r="A897" s="2">
        <f t="shared" si="97"/>
        <v>893</v>
      </c>
      <c r="B897" s="2">
        <v>15</v>
      </c>
      <c r="C897" s="2">
        <v>0.8</v>
      </c>
      <c r="D897" s="2">
        <v>25</v>
      </c>
      <c r="E897" s="2">
        <v>1</v>
      </c>
      <c r="F897" s="2">
        <v>60</v>
      </c>
      <c r="G897" s="2">
        <v>0.8</v>
      </c>
      <c r="H897" s="2">
        <v>20</v>
      </c>
      <c r="I897" s="2">
        <v>0</v>
      </c>
      <c r="J897" s="2">
        <v>1</v>
      </c>
      <c r="K897">
        <f t="shared" si="91"/>
        <v>35.133483746792109</v>
      </c>
      <c r="L897">
        <f t="shared" si="92"/>
        <v>36.468554194340904</v>
      </c>
      <c r="M897">
        <f t="shared" si="93"/>
        <v>0.20832189054829223</v>
      </c>
      <c r="N897">
        <f t="shared" si="94"/>
        <v>0.7916781094517078</v>
      </c>
      <c r="O897">
        <f t="shared" si="95"/>
        <v>0.7916781094517078</v>
      </c>
      <c r="P897">
        <f t="shared" si="96"/>
        <v>-0.23360039724170137</v>
      </c>
    </row>
    <row r="898" spans="1:16" x14ac:dyDescent="0.3">
      <c r="A898" s="2">
        <f t="shared" si="97"/>
        <v>894</v>
      </c>
      <c r="B898" s="2">
        <v>25</v>
      </c>
      <c r="C898" s="2">
        <v>0.8</v>
      </c>
      <c r="D898" s="2">
        <v>25</v>
      </c>
      <c r="E898" s="2">
        <v>1</v>
      </c>
      <c r="F898" s="2">
        <v>90</v>
      </c>
      <c r="G898" s="2">
        <v>0.8</v>
      </c>
      <c r="H898" s="2">
        <v>40</v>
      </c>
      <c r="I898" s="2">
        <v>1</v>
      </c>
      <c r="J898" s="2">
        <v>0</v>
      </c>
      <c r="K898">
        <f t="shared" si="91"/>
        <v>77.778437692453977</v>
      </c>
      <c r="L898">
        <f t="shared" si="92"/>
        <v>39.100243153110959</v>
      </c>
      <c r="M898">
        <f t="shared" si="93"/>
        <v>1</v>
      </c>
      <c r="N898">
        <f t="shared" si="94"/>
        <v>1.593211900022326E-17</v>
      </c>
      <c r="O898">
        <f t="shared" si="95"/>
        <v>1</v>
      </c>
      <c r="P898">
        <f t="shared" si="96"/>
        <v>0</v>
      </c>
    </row>
    <row r="899" spans="1:16" x14ac:dyDescent="0.3">
      <c r="A899" s="2">
        <f t="shared" si="97"/>
        <v>895</v>
      </c>
      <c r="B899" s="2">
        <v>20</v>
      </c>
      <c r="C899" s="2">
        <v>0.4</v>
      </c>
      <c r="D899" s="2">
        <v>25</v>
      </c>
      <c r="E899" s="2">
        <v>1</v>
      </c>
      <c r="F899" s="2">
        <v>90</v>
      </c>
      <c r="G899" s="2">
        <v>0.8</v>
      </c>
      <c r="H899" s="2">
        <v>10</v>
      </c>
      <c r="I899" s="2">
        <v>0</v>
      </c>
      <c r="J899" s="2">
        <v>1</v>
      </c>
      <c r="K899">
        <f t="shared" si="91"/>
        <v>19.528885066709069</v>
      </c>
      <c r="L899">
        <f t="shared" si="92"/>
        <v>44.883503374470401</v>
      </c>
      <c r="M899">
        <f t="shared" si="93"/>
        <v>9.7415749928267864E-12</v>
      </c>
      <c r="N899">
        <f t="shared" si="94"/>
        <v>0.99999999999025846</v>
      </c>
      <c r="O899">
        <f t="shared" si="95"/>
        <v>0.99999999999025846</v>
      </c>
      <c r="P899">
        <f t="shared" si="96"/>
        <v>-9.7415409073184217E-12</v>
      </c>
    </row>
    <row r="900" spans="1:16" x14ac:dyDescent="0.3">
      <c r="A900" s="2">
        <f t="shared" si="97"/>
        <v>896</v>
      </c>
      <c r="B900" s="2">
        <v>25</v>
      </c>
      <c r="C900" s="2">
        <v>0.6</v>
      </c>
      <c r="D900" s="2">
        <v>20</v>
      </c>
      <c r="E900" s="2">
        <v>1</v>
      </c>
      <c r="F900" s="2">
        <v>45</v>
      </c>
      <c r="G900" s="2">
        <v>1</v>
      </c>
      <c r="H900" s="2">
        <v>40</v>
      </c>
      <c r="I900" s="2">
        <v>1</v>
      </c>
      <c r="J900" s="2">
        <v>0</v>
      </c>
      <c r="K900">
        <f t="shared" si="91"/>
        <v>69.229712134530658</v>
      </c>
      <c r="L900">
        <f t="shared" si="92"/>
        <v>33.808462424561448</v>
      </c>
      <c r="M900">
        <f t="shared" si="93"/>
        <v>0.99999999999999967</v>
      </c>
      <c r="N900">
        <f t="shared" si="94"/>
        <v>4.1375829048793927E-16</v>
      </c>
      <c r="O900">
        <f t="shared" si="95"/>
        <v>0.99999999999999967</v>
      </c>
      <c r="P900">
        <f t="shared" si="96"/>
        <v>-3.3306690738754701E-16</v>
      </c>
    </row>
    <row r="901" spans="1:16" x14ac:dyDescent="0.3">
      <c r="A901" s="2">
        <f t="shared" si="97"/>
        <v>897</v>
      </c>
      <c r="B901" s="2">
        <v>25</v>
      </c>
      <c r="C901" s="2">
        <v>0.8</v>
      </c>
      <c r="D901" s="2">
        <v>15</v>
      </c>
      <c r="E901" s="2">
        <v>1</v>
      </c>
      <c r="F901" s="2">
        <v>45</v>
      </c>
      <c r="G901" s="2">
        <v>1</v>
      </c>
      <c r="H901" s="2">
        <v>10</v>
      </c>
      <c r="I901" s="2">
        <v>0</v>
      </c>
      <c r="J901" s="2">
        <v>1</v>
      </c>
      <c r="K901">
        <f t="shared" si="91"/>
        <v>10.980159508785752</v>
      </c>
      <c r="L901">
        <f t="shared" si="92"/>
        <v>21.417576995267474</v>
      </c>
      <c r="M901">
        <f t="shared" si="93"/>
        <v>2.931395718665853E-5</v>
      </c>
      <c r="N901">
        <f t="shared" si="94"/>
        <v>0.99997068604281336</v>
      </c>
      <c r="O901">
        <f t="shared" si="95"/>
        <v>0.99997068604281336</v>
      </c>
      <c r="P901">
        <f t="shared" si="96"/>
        <v>-2.9314386849078268E-5</v>
      </c>
    </row>
    <row r="902" spans="1:16" x14ac:dyDescent="0.3">
      <c r="A902" s="2">
        <f t="shared" si="97"/>
        <v>898</v>
      </c>
      <c r="B902" s="2">
        <v>20</v>
      </c>
      <c r="C902" s="2">
        <v>0.6</v>
      </c>
      <c r="D902" s="2">
        <v>25</v>
      </c>
      <c r="E902" s="2">
        <v>1</v>
      </c>
      <c r="F902" s="2">
        <v>60</v>
      </c>
      <c r="G902" s="2">
        <v>0.9</v>
      </c>
      <c r="H902" s="2">
        <v>10</v>
      </c>
      <c r="I902" s="2">
        <v>0</v>
      </c>
      <c r="J902" s="2">
        <v>1</v>
      </c>
      <c r="K902">
        <f t="shared" ref="K902:K965" si="98">$F$3*F902+$G$3*G902+$H$3*H902</f>
        <v>14.301542572289428</v>
      </c>
      <c r="L902">
        <f t="shared" ref="L902:L965" si="99">$B$3*B902+$C$3*C902+$D$3*D902+$E$3*E902</f>
        <v>41.33395102409817</v>
      </c>
      <c r="M902">
        <f t="shared" ref="M902:M965" si="100">EXP(K902)/(EXP(K902)+EXP(L902))</f>
        <v>1.8195926623036139E-12</v>
      </c>
      <c r="N902">
        <f t="shared" ref="N902:N965" si="101">EXP(L902)/(EXP(L902)+EXP(K902))</f>
        <v>0.99999999999818046</v>
      </c>
      <c r="O902">
        <f t="shared" ref="O902:O965" si="102">I902*M902+J902*N902</f>
        <v>0.99999999999818046</v>
      </c>
      <c r="P902">
        <f t="shared" ref="P902:P965" si="103">LN(O902)</f>
        <v>-1.8195445150598246E-12</v>
      </c>
    </row>
    <row r="903" spans="1:16" x14ac:dyDescent="0.3">
      <c r="A903" s="2">
        <f t="shared" ref="A903:A966" si="104">A902+1</f>
        <v>899</v>
      </c>
      <c r="B903" s="2">
        <v>25</v>
      </c>
      <c r="C903" s="2">
        <v>0.4</v>
      </c>
      <c r="D903" s="2">
        <v>25</v>
      </c>
      <c r="E903" s="2">
        <v>1</v>
      </c>
      <c r="F903" s="2">
        <v>45</v>
      </c>
      <c r="G903" s="2">
        <v>1</v>
      </c>
      <c r="H903" s="2">
        <v>10</v>
      </c>
      <c r="I903" s="2">
        <v>0</v>
      </c>
      <c r="J903" s="2">
        <v>1</v>
      </c>
      <c r="K903">
        <f t="shared" si="98"/>
        <v>10.980159508785752</v>
      </c>
      <c r="L903">
        <f t="shared" si="99"/>
        <v>46.199347853855429</v>
      </c>
      <c r="M903">
        <f t="shared" si="100"/>
        <v>5.064083343963292E-16</v>
      </c>
      <c r="N903">
        <f t="shared" si="101"/>
        <v>0.99999999999999944</v>
      </c>
      <c r="O903">
        <f t="shared" si="102"/>
        <v>0.99999999999999944</v>
      </c>
      <c r="P903">
        <f t="shared" si="103"/>
        <v>-5.5511151231257847E-16</v>
      </c>
    </row>
    <row r="904" spans="1:16" x14ac:dyDescent="0.3">
      <c r="A904" s="2">
        <f t="shared" si="104"/>
        <v>900</v>
      </c>
      <c r="B904" s="2">
        <v>25</v>
      </c>
      <c r="C904" s="2">
        <v>0.4</v>
      </c>
      <c r="D904" s="2">
        <v>20</v>
      </c>
      <c r="E904" s="2">
        <v>1</v>
      </c>
      <c r="F904" s="2">
        <v>90</v>
      </c>
      <c r="G904" s="2">
        <v>0.9</v>
      </c>
      <c r="H904" s="2">
        <v>20</v>
      </c>
      <c r="I904" s="2">
        <v>1</v>
      </c>
      <c r="J904" s="2">
        <v>0</v>
      </c>
      <c r="K904">
        <f t="shared" si="98"/>
        <v>37.529978976036332</v>
      </c>
      <c r="L904">
        <f t="shared" si="99"/>
        <v>37.358014774933686</v>
      </c>
      <c r="M904">
        <f t="shared" si="100"/>
        <v>0.54288541947780411</v>
      </c>
      <c r="N904">
        <f t="shared" si="101"/>
        <v>0.45711458052219595</v>
      </c>
      <c r="O904">
        <f t="shared" si="102"/>
        <v>0.54288541947780411</v>
      </c>
      <c r="P904">
        <f t="shared" si="103"/>
        <v>-0.61085699516778824</v>
      </c>
    </row>
    <row r="905" spans="1:16" x14ac:dyDescent="0.3">
      <c r="A905" s="2">
        <f t="shared" si="104"/>
        <v>901</v>
      </c>
      <c r="B905" s="2">
        <v>20</v>
      </c>
      <c r="C905" s="2">
        <v>0.4</v>
      </c>
      <c r="D905" s="2">
        <v>20</v>
      </c>
      <c r="E905" s="2">
        <v>1</v>
      </c>
      <c r="F905" s="2">
        <v>45</v>
      </c>
      <c r="G905" s="2">
        <v>1</v>
      </c>
      <c r="H905" s="2">
        <v>20</v>
      </c>
      <c r="I905" s="2">
        <v>0</v>
      </c>
      <c r="J905" s="2">
        <v>1</v>
      </c>
      <c r="K905">
        <f t="shared" si="98"/>
        <v>30.396677050700724</v>
      </c>
      <c r="L905">
        <f t="shared" si="99"/>
        <v>36.042170295548658</v>
      </c>
      <c r="M905">
        <f t="shared" si="100"/>
        <v>3.5209641445506446E-3</v>
      </c>
      <c r="N905">
        <f t="shared" si="101"/>
        <v>0.99647903585544939</v>
      </c>
      <c r="O905">
        <f t="shared" si="102"/>
        <v>0.99647903585544939</v>
      </c>
      <c r="P905">
        <f t="shared" si="103"/>
        <v>-3.5271773273540738E-3</v>
      </c>
    </row>
    <row r="906" spans="1:16" x14ac:dyDescent="0.3">
      <c r="A906" s="2">
        <f t="shared" si="104"/>
        <v>902</v>
      </c>
      <c r="B906" s="2">
        <v>25</v>
      </c>
      <c r="C906" s="2">
        <v>0.8</v>
      </c>
      <c r="D906" s="2">
        <v>25</v>
      </c>
      <c r="E906" s="2">
        <v>1</v>
      </c>
      <c r="F906" s="2">
        <v>90</v>
      </c>
      <c r="G906" s="2">
        <v>0.8</v>
      </c>
      <c r="H906" s="2">
        <v>20</v>
      </c>
      <c r="I906" s="2">
        <v>0</v>
      </c>
      <c r="J906" s="2">
        <v>1</v>
      </c>
      <c r="K906">
        <f t="shared" si="98"/>
        <v>38.945402608624036</v>
      </c>
      <c r="L906">
        <f t="shared" si="99"/>
        <v>39.100243153110959</v>
      </c>
      <c r="M906">
        <f t="shared" si="100"/>
        <v>0.46136702043908673</v>
      </c>
      <c r="N906">
        <f t="shared" si="101"/>
        <v>0.53863297956091327</v>
      </c>
      <c r="O906">
        <f t="shared" si="102"/>
        <v>0.53863297956091327</v>
      </c>
      <c r="P906">
        <f t="shared" si="103"/>
        <v>-0.61872086846863394</v>
      </c>
    </row>
    <row r="907" spans="1:16" x14ac:dyDescent="0.3">
      <c r="A907" s="2">
        <f t="shared" si="104"/>
        <v>903</v>
      </c>
      <c r="B907" s="2">
        <v>25</v>
      </c>
      <c r="C907" s="2">
        <v>0.6</v>
      </c>
      <c r="D907" s="2">
        <v>25</v>
      </c>
      <c r="E907" s="2">
        <v>1</v>
      </c>
      <c r="F907" s="2">
        <v>60</v>
      </c>
      <c r="G907" s="2">
        <v>0.9</v>
      </c>
      <c r="H907" s="2">
        <v>10</v>
      </c>
      <c r="I907" s="2">
        <v>0</v>
      </c>
      <c r="J907" s="2">
        <v>1</v>
      </c>
      <c r="K907">
        <f t="shared" si="98"/>
        <v>14.301542572289428</v>
      </c>
      <c r="L907">
        <f t="shared" si="99"/>
        <v>42.649795503483197</v>
      </c>
      <c r="M907">
        <f t="shared" si="100"/>
        <v>4.8810154280030355E-13</v>
      </c>
      <c r="N907">
        <f t="shared" si="101"/>
        <v>0.99999999999951195</v>
      </c>
      <c r="O907">
        <f t="shared" si="102"/>
        <v>0.99999999999951195</v>
      </c>
      <c r="P907">
        <f t="shared" si="103"/>
        <v>-4.8805404162533786E-13</v>
      </c>
    </row>
    <row r="908" spans="1:16" x14ac:dyDescent="0.3">
      <c r="A908" s="2">
        <f t="shared" si="104"/>
        <v>904</v>
      </c>
      <c r="B908" s="2">
        <v>15</v>
      </c>
      <c r="C908" s="2">
        <v>0.4</v>
      </c>
      <c r="D908" s="2">
        <v>20</v>
      </c>
      <c r="E908" s="2">
        <v>1</v>
      </c>
      <c r="F908" s="2">
        <v>45</v>
      </c>
      <c r="G908" s="2">
        <v>0.9</v>
      </c>
      <c r="H908" s="2">
        <v>20</v>
      </c>
      <c r="I908" s="2">
        <v>0</v>
      </c>
      <c r="J908" s="2">
        <v>1</v>
      </c>
      <c r="K908">
        <f t="shared" si="98"/>
        <v>31.812100683288435</v>
      </c>
      <c r="L908">
        <f t="shared" si="99"/>
        <v>34.72632581616363</v>
      </c>
      <c r="M908">
        <f t="shared" si="100"/>
        <v>5.1454827193732587E-2</v>
      </c>
      <c r="N908">
        <f t="shared" si="101"/>
        <v>0.94854517280626738</v>
      </c>
      <c r="O908">
        <f t="shared" si="102"/>
        <v>0.94854517280626738</v>
      </c>
      <c r="P908">
        <f t="shared" si="103"/>
        <v>-5.2825865220550154E-2</v>
      </c>
    </row>
    <row r="909" spans="1:16" x14ac:dyDescent="0.3">
      <c r="A909" s="2">
        <f t="shared" si="104"/>
        <v>905</v>
      </c>
      <c r="B909" s="2">
        <v>20</v>
      </c>
      <c r="C909" s="2">
        <v>0.6</v>
      </c>
      <c r="D909" s="2">
        <v>25</v>
      </c>
      <c r="E909" s="2">
        <v>1</v>
      </c>
      <c r="F909" s="2">
        <v>60</v>
      </c>
      <c r="G909" s="2">
        <v>1</v>
      </c>
      <c r="H909" s="2">
        <v>10</v>
      </c>
      <c r="I909" s="2">
        <v>0</v>
      </c>
      <c r="J909" s="2">
        <v>1</v>
      </c>
      <c r="K909">
        <f t="shared" si="98"/>
        <v>12.886118939701717</v>
      </c>
      <c r="L909">
        <f t="shared" si="99"/>
        <v>41.33395102409817</v>
      </c>
      <c r="M909">
        <f t="shared" si="100"/>
        <v>4.4183844690016194E-13</v>
      </c>
      <c r="N909">
        <f t="shared" si="101"/>
        <v>0.99999999999955824</v>
      </c>
      <c r="O909">
        <f t="shared" si="102"/>
        <v>0.99999999999955824</v>
      </c>
      <c r="P909">
        <f t="shared" si="103"/>
        <v>-4.4175774149844738E-13</v>
      </c>
    </row>
    <row r="910" spans="1:16" x14ac:dyDescent="0.3">
      <c r="A910" s="2">
        <f t="shared" si="104"/>
        <v>906</v>
      </c>
      <c r="B910" s="2">
        <v>15</v>
      </c>
      <c r="C910" s="2">
        <v>0.8</v>
      </c>
      <c r="D910" s="2">
        <v>20</v>
      </c>
      <c r="E910" s="2">
        <v>1</v>
      </c>
      <c r="F910" s="2">
        <v>90</v>
      </c>
      <c r="G910" s="2">
        <v>0.9</v>
      </c>
      <c r="H910" s="2">
        <v>40</v>
      </c>
      <c r="I910" s="2">
        <v>1</v>
      </c>
      <c r="J910" s="2">
        <v>0</v>
      </c>
      <c r="K910">
        <f t="shared" si="98"/>
        <v>76.363014059866273</v>
      </c>
      <c r="L910">
        <f t="shared" si="99"/>
        <v>27.627221115419157</v>
      </c>
      <c r="M910">
        <f t="shared" si="100"/>
        <v>1</v>
      </c>
      <c r="N910">
        <f t="shared" si="101"/>
        <v>6.828322948068731E-22</v>
      </c>
      <c r="O910">
        <f t="shared" si="102"/>
        <v>1</v>
      </c>
      <c r="P910">
        <f t="shared" si="103"/>
        <v>0</v>
      </c>
    </row>
    <row r="911" spans="1:16" x14ac:dyDescent="0.3">
      <c r="A911" s="2">
        <f t="shared" si="104"/>
        <v>907</v>
      </c>
      <c r="B911" s="2">
        <v>15</v>
      </c>
      <c r="C911" s="2">
        <v>0.8</v>
      </c>
      <c r="D911" s="2">
        <v>15</v>
      </c>
      <c r="E911" s="2">
        <v>1</v>
      </c>
      <c r="F911" s="2">
        <v>60</v>
      </c>
      <c r="G911" s="2">
        <v>0.8</v>
      </c>
      <c r="H911" s="2">
        <v>40</v>
      </c>
      <c r="I911" s="2">
        <v>1</v>
      </c>
      <c r="J911" s="2">
        <v>0</v>
      </c>
      <c r="K911">
        <f t="shared" si="98"/>
        <v>73.96651883062205</v>
      </c>
      <c r="L911">
        <f t="shared" si="99"/>
        <v>18.785888036497418</v>
      </c>
      <c r="M911">
        <f t="shared" si="100"/>
        <v>1</v>
      </c>
      <c r="N911">
        <f t="shared" si="101"/>
        <v>1.0848171394638824E-24</v>
      </c>
      <c r="O911">
        <f t="shared" si="102"/>
        <v>1</v>
      </c>
      <c r="P911">
        <f t="shared" si="103"/>
        <v>0</v>
      </c>
    </row>
    <row r="912" spans="1:16" x14ac:dyDescent="0.3">
      <c r="A912" s="2">
        <f t="shared" si="104"/>
        <v>908</v>
      </c>
      <c r="B912" s="2">
        <v>15</v>
      </c>
      <c r="C912" s="2">
        <v>0.6</v>
      </c>
      <c r="D912" s="2">
        <v>20</v>
      </c>
      <c r="E912" s="2">
        <v>1</v>
      </c>
      <c r="F912" s="2">
        <v>90</v>
      </c>
      <c r="G912" s="2">
        <v>1</v>
      </c>
      <c r="H912" s="2">
        <v>10</v>
      </c>
      <c r="I912" s="2">
        <v>0</v>
      </c>
      <c r="J912" s="2">
        <v>1</v>
      </c>
      <c r="K912">
        <f t="shared" si="98"/>
        <v>16.698037801533648</v>
      </c>
      <c r="L912">
        <f t="shared" si="99"/>
        <v>31.176773465791396</v>
      </c>
      <c r="M912">
        <f t="shared" si="100"/>
        <v>5.1518685366071208E-7</v>
      </c>
      <c r="N912">
        <f t="shared" si="101"/>
        <v>0.99999948481314638</v>
      </c>
      <c r="O912">
        <f t="shared" si="102"/>
        <v>0.99999948481314638</v>
      </c>
      <c r="P912">
        <f t="shared" si="103"/>
        <v>-5.1518698633118847E-7</v>
      </c>
    </row>
    <row r="913" spans="1:16" x14ac:dyDescent="0.3">
      <c r="A913" s="2">
        <f t="shared" si="104"/>
        <v>909</v>
      </c>
      <c r="B913" s="2">
        <v>15</v>
      </c>
      <c r="C913" s="2">
        <v>0.6</v>
      </c>
      <c r="D913" s="2">
        <v>15</v>
      </c>
      <c r="E913" s="2">
        <v>1</v>
      </c>
      <c r="F913" s="2">
        <v>60</v>
      </c>
      <c r="G913" s="2">
        <v>1</v>
      </c>
      <c r="H913" s="2">
        <v>20</v>
      </c>
      <c r="I913" s="2">
        <v>1</v>
      </c>
      <c r="J913" s="2">
        <v>0</v>
      </c>
      <c r="K913">
        <f t="shared" si="98"/>
        <v>32.302636481616688</v>
      </c>
      <c r="L913">
        <f t="shared" si="99"/>
        <v>22.335440386869656</v>
      </c>
      <c r="M913">
        <f t="shared" si="100"/>
        <v>0.99995308827940088</v>
      </c>
      <c r="N913">
        <f t="shared" si="101"/>
        <v>4.6911720599155635E-5</v>
      </c>
      <c r="O913">
        <f t="shared" si="102"/>
        <v>0.99995308827940088</v>
      </c>
      <c r="P913">
        <f t="shared" si="103"/>
        <v>-4.6912820988297765E-5</v>
      </c>
    </row>
    <row r="914" spans="1:16" x14ac:dyDescent="0.3">
      <c r="A914" s="2">
        <f t="shared" si="104"/>
        <v>910</v>
      </c>
      <c r="B914" s="2">
        <v>15</v>
      </c>
      <c r="C914" s="2">
        <v>0.4</v>
      </c>
      <c r="D914" s="2">
        <v>15</v>
      </c>
      <c r="E914" s="2">
        <v>1</v>
      </c>
      <c r="F914" s="2">
        <v>45</v>
      </c>
      <c r="G914" s="2">
        <v>0.9</v>
      </c>
      <c r="H914" s="2">
        <v>40</v>
      </c>
      <c r="I914" s="2">
        <v>1</v>
      </c>
      <c r="J914" s="2">
        <v>0</v>
      </c>
      <c r="K914">
        <f t="shared" si="98"/>
        <v>70.645135767118376</v>
      </c>
      <c r="L914">
        <f t="shared" si="99"/>
        <v>25.884992737241895</v>
      </c>
      <c r="M914">
        <f t="shared" si="100"/>
        <v>1</v>
      </c>
      <c r="N914">
        <f t="shared" si="101"/>
        <v>3.6384538684765674E-20</v>
      </c>
      <c r="O914">
        <f t="shared" si="102"/>
        <v>1</v>
      </c>
      <c r="P914">
        <f t="shared" si="103"/>
        <v>0</v>
      </c>
    </row>
    <row r="915" spans="1:16" x14ac:dyDescent="0.3">
      <c r="A915" s="2">
        <f t="shared" si="104"/>
        <v>911</v>
      </c>
      <c r="B915" s="2">
        <v>15</v>
      </c>
      <c r="C915" s="2">
        <v>0.4</v>
      </c>
      <c r="D915" s="2">
        <v>15</v>
      </c>
      <c r="E915" s="2">
        <v>1</v>
      </c>
      <c r="F915" s="2">
        <v>45</v>
      </c>
      <c r="G915" s="2">
        <v>0.9</v>
      </c>
      <c r="H915" s="2">
        <v>40</v>
      </c>
      <c r="I915" s="2">
        <v>1</v>
      </c>
      <c r="J915" s="2">
        <v>0</v>
      </c>
      <c r="K915">
        <f t="shared" si="98"/>
        <v>70.645135767118376</v>
      </c>
      <c r="L915">
        <f t="shared" si="99"/>
        <v>25.884992737241895</v>
      </c>
      <c r="M915">
        <f t="shared" si="100"/>
        <v>1</v>
      </c>
      <c r="N915">
        <f t="shared" si="101"/>
        <v>3.6384538684765674E-20</v>
      </c>
      <c r="O915">
        <f t="shared" si="102"/>
        <v>1</v>
      </c>
      <c r="P915">
        <f t="shared" si="103"/>
        <v>0</v>
      </c>
    </row>
    <row r="916" spans="1:16" x14ac:dyDescent="0.3">
      <c r="A916" s="2">
        <f t="shared" si="104"/>
        <v>912</v>
      </c>
      <c r="B916" s="2">
        <v>15</v>
      </c>
      <c r="C916" s="2">
        <v>0.6</v>
      </c>
      <c r="D916" s="2">
        <v>25</v>
      </c>
      <c r="E916" s="2">
        <v>1</v>
      </c>
      <c r="F916" s="2">
        <v>90</v>
      </c>
      <c r="G916" s="2">
        <v>0.8</v>
      </c>
      <c r="H916" s="2">
        <v>10</v>
      </c>
      <c r="I916" s="2">
        <v>0</v>
      </c>
      <c r="J916" s="2">
        <v>1</v>
      </c>
      <c r="K916">
        <f t="shared" si="98"/>
        <v>19.528885066709069</v>
      </c>
      <c r="L916">
        <f t="shared" si="99"/>
        <v>40.018106544713142</v>
      </c>
      <c r="M916">
        <f t="shared" si="100"/>
        <v>1.2637005457872701E-9</v>
      </c>
      <c r="N916">
        <f t="shared" si="101"/>
        <v>0.99999999873629941</v>
      </c>
      <c r="O916">
        <f t="shared" si="102"/>
        <v>0.99999999873629941</v>
      </c>
      <c r="P916">
        <f t="shared" si="103"/>
        <v>-1.2637005894147152E-9</v>
      </c>
    </row>
    <row r="917" spans="1:16" x14ac:dyDescent="0.3">
      <c r="A917" s="2">
        <f t="shared" si="104"/>
        <v>913</v>
      </c>
      <c r="B917" s="2">
        <v>15</v>
      </c>
      <c r="C917" s="2">
        <v>0.6</v>
      </c>
      <c r="D917" s="2">
        <v>25</v>
      </c>
      <c r="E917" s="2">
        <v>1</v>
      </c>
      <c r="F917" s="2">
        <v>90</v>
      </c>
      <c r="G917" s="2">
        <v>0.9</v>
      </c>
      <c r="H917" s="2">
        <v>40</v>
      </c>
      <c r="I917" s="2">
        <v>1</v>
      </c>
      <c r="J917" s="2">
        <v>0</v>
      </c>
      <c r="K917">
        <f t="shared" si="98"/>
        <v>76.363014059866273</v>
      </c>
      <c r="L917">
        <f t="shared" si="99"/>
        <v>40.018106544713142</v>
      </c>
      <c r="M917">
        <f t="shared" si="100"/>
        <v>0.99999999999999978</v>
      </c>
      <c r="N917">
        <f t="shared" si="101"/>
        <v>1.6428852136731917E-16</v>
      </c>
      <c r="O917">
        <f t="shared" si="102"/>
        <v>0.99999999999999978</v>
      </c>
      <c r="P917">
        <f t="shared" si="103"/>
        <v>-2.2204460492503131E-16</v>
      </c>
    </row>
    <row r="918" spans="1:16" x14ac:dyDescent="0.3">
      <c r="A918" s="2">
        <f t="shared" si="104"/>
        <v>914</v>
      </c>
      <c r="B918" s="2">
        <v>20</v>
      </c>
      <c r="C918" s="2">
        <v>0.4</v>
      </c>
      <c r="D918" s="2">
        <v>25</v>
      </c>
      <c r="E918" s="2">
        <v>1</v>
      </c>
      <c r="F918" s="2">
        <v>90</v>
      </c>
      <c r="G918" s="2">
        <v>0.8</v>
      </c>
      <c r="H918" s="2">
        <v>40</v>
      </c>
      <c r="I918" s="2">
        <v>1</v>
      </c>
      <c r="J918" s="2">
        <v>0</v>
      </c>
      <c r="K918">
        <f t="shared" si="98"/>
        <v>77.778437692453977</v>
      </c>
      <c r="L918">
        <f t="shared" si="99"/>
        <v>44.883503374470401</v>
      </c>
      <c r="M918">
        <f t="shared" si="100"/>
        <v>0.99999999999999478</v>
      </c>
      <c r="N918">
        <f t="shared" si="101"/>
        <v>5.1750141680084904E-15</v>
      </c>
      <c r="O918">
        <f t="shared" si="102"/>
        <v>0.99999999999999478</v>
      </c>
      <c r="P918">
        <f t="shared" si="103"/>
        <v>-5.2180482157382492E-15</v>
      </c>
    </row>
    <row r="919" spans="1:16" x14ac:dyDescent="0.3">
      <c r="A919" s="2">
        <f t="shared" si="104"/>
        <v>915</v>
      </c>
      <c r="B919" s="2">
        <v>15</v>
      </c>
      <c r="C919" s="2">
        <v>0.4</v>
      </c>
      <c r="D919" s="2">
        <v>25</v>
      </c>
      <c r="E919" s="2">
        <v>1</v>
      </c>
      <c r="F919" s="2">
        <v>90</v>
      </c>
      <c r="G919" s="2">
        <v>0.9</v>
      </c>
      <c r="H919" s="2">
        <v>40</v>
      </c>
      <c r="I919" s="2">
        <v>1</v>
      </c>
      <c r="J919" s="2">
        <v>0</v>
      </c>
      <c r="K919">
        <f t="shared" si="98"/>
        <v>76.363014059866273</v>
      </c>
      <c r="L919">
        <f t="shared" si="99"/>
        <v>43.567658895085373</v>
      </c>
      <c r="M919">
        <f t="shared" si="100"/>
        <v>0.99999999999999423</v>
      </c>
      <c r="N919">
        <f t="shared" si="101"/>
        <v>5.7168687268838617E-15</v>
      </c>
      <c r="O919">
        <f t="shared" si="102"/>
        <v>0.99999999999999423</v>
      </c>
      <c r="P919">
        <f t="shared" si="103"/>
        <v>-5.7731597280508306E-15</v>
      </c>
    </row>
    <row r="920" spans="1:16" x14ac:dyDescent="0.3">
      <c r="A920" s="2">
        <f t="shared" si="104"/>
        <v>916</v>
      </c>
      <c r="B920" s="2">
        <v>20</v>
      </c>
      <c r="C920" s="2">
        <v>0.6</v>
      </c>
      <c r="D920" s="2">
        <v>15</v>
      </c>
      <c r="E920" s="2">
        <v>1</v>
      </c>
      <c r="F920" s="2">
        <v>45</v>
      </c>
      <c r="G920" s="2">
        <v>0.8</v>
      </c>
      <c r="H920" s="2">
        <v>20</v>
      </c>
      <c r="I920" s="2">
        <v>1</v>
      </c>
      <c r="J920" s="2">
        <v>0</v>
      </c>
      <c r="K920">
        <f t="shared" si="98"/>
        <v>33.227524315876146</v>
      </c>
      <c r="L920">
        <f t="shared" si="99"/>
        <v>23.651284866254684</v>
      </c>
      <c r="M920">
        <f t="shared" si="100"/>
        <v>0.99993064753063088</v>
      </c>
      <c r="N920">
        <f t="shared" si="101"/>
        <v>6.9352469369135501E-5</v>
      </c>
      <c r="O920">
        <f t="shared" si="102"/>
        <v>0.99993064753063088</v>
      </c>
      <c r="P920">
        <f t="shared" si="103"/>
        <v>-6.935487436282093E-5</v>
      </c>
    </row>
    <row r="921" spans="1:16" x14ac:dyDescent="0.3">
      <c r="A921" s="2">
        <f t="shared" si="104"/>
        <v>917</v>
      </c>
      <c r="B921" s="2">
        <v>20</v>
      </c>
      <c r="C921" s="2">
        <v>0.6</v>
      </c>
      <c r="D921" s="2">
        <v>15</v>
      </c>
      <c r="E921" s="2">
        <v>1</v>
      </c>
      <c r="F921" s="2">
        <v>90</v>
      </c>
      <c r="G921" s="2">
        <v>1</v>
      </c>
      <c r="H921" s="2">
        <v>20</v>
      </c>
      <c r="I921" s="2">
        <v>1</v>
      </c>
      <c r="J921" s="2">
        <v>0</v>
      </c>
      <c r="K921">
        <f t="shared" si="98"/>
        <v>36.114555343448615</v>
      </c>
      <c r="L921">
        <f t="shared" si="99"/>
        <v>23.651284866254684</v>
      </c>
      <c r="M921">
        <f t="shared" si="100"/>
        <v>0.99999613393878561</v>
      </c>
      <c r="N921">
        <f t="shared" si="101"/>
        <v>3.8660612144020199E-6</v>
      </c>
      <c r="O921">
        <f t="shared" si="102"/>
        <v>0.99999613393878561</v>
      </c>
      <c r="P921">
        <f t="shared" si="103"/>
        <v>-3.8660686876198474E-6</v>
      </c>
    </row>
    <row r="922" spans="1:16" x14ac:dyDescent="0.3">
      <c r="A922" s="2">
        <f t="shared" si="104"/>
        <v>918</v>
      </c>
      <c r="B922" s="2">
        <v>20</v>
      </c>
      <c r="C922" s="2">
        <v>0.4</v>
      </c>
      <c r="D922" s="2">
        <v>15</v>
      </c>
      <c r="E922" s="2">
        <v>1</v>
      </c>
      <c r="F922" s="2">
        <v>90</v>
      </c>
      <c r="G922" s="2">
        <v>0.8</v>
      </c>
      <c r="H922" s="2">
        <v>40</v>
      </c>
      <c r="I922" s="2">
        <v>1</v>
      </c>
      <c r="J922" s="2">
        <v>0</v>
      </c>
      <c r="K922">
        <f t="shared" si="98"/>
        <v>77.778437692453977</v>
      </c>
      <c r="L922">
        <f t="shared" si="99"/>
        <v>27.200837216626923</v>
      </c>
      <c r="M922">
        <f t="shared" si="100"/>
        <v>1</v>
      </c>
      <c r="N922">
        <f t="shared" si="101"/>
        <v>1.0824982562535109E-22</v>
      </c>
      <c r="O922">
        <f t="shared" si="102"/>
        <v>1</v>
      </c>
      <c r="P922">
        <f t="shared" si="103"/>
        <v>0</v>
      </c>
    </row>
    <row r="923" spans="1:16" x14ac:dyDescent="0.3">
      <c r="A923" s="2">
        <f t="shared" si="104"/>
        <v>919</v>
      </c>
      <c r="B923" s="2">
        <v>20</v>
      </c>
      <c r="C923" s="2">
        <v>0.6</v>
      </c>
      <c r="D923" s="2">
        <v>15</v>
      </c>
      <c r="E923" s="2">
        <v>1</v>
      </c>
      <c r="F923" s="2">
        <v>45</v>
      </c>
      <c r="G923" s="2">
        <v>1</v>
      </c>
      <c r="H923" s="2">
        <v>40</v>
      </c>
      <c r="I923" s="2">
        <v>1</v>
      </c>
      <c r="J923" s="2">
        <v>0</v>
      </c>
      <c r="K923">
        <f t="shared" si="98"/>
        <v>69.229712134530658</v>
      </c>
      <c r="L923">
        <f t="shared" si="99"/>
        <v>23.651284866254684</v>
      </c>
      <c r="M923">
        <f t="shared" si="100"/>
        <v>1</v>
      </c>
      <c r="N923">
        <f t="shared" si="101"/>
        <v>1.6052421084706116E-20</v>
      </c>
      <c r="O923">
        <f t="shared" si="102"/>
        <v>1</v>
      </c>
      <c r="P923">
        <f t="shared" si="103"/>
        <v>0</v>
      </c>
    </row>
    <row r="924" spans="1:16" x14ac:dyDescent="0.3">
      <c r="A924" s="2">
        <f t="shared" si="104"/>
        <v>920</v>
      </c>
      <c r="B924" s="2">
        <v>25</v>
      </c>
      <c r="C924" s="2">
        <v>0.4</v>
      </c>
      <c r="D924" s="2">
        <v>25</v>
      </c>
      <c r="E924" s="2">
        <v>1</v>
      </c>
      <c r="F924" s="2">
        <v>90</v>
      </c>
      <c r="G924" s="2">
        <v>0.8</v>
      </c>
      <c r="H924" s="2">
        <v>10</v>
      </c>
      <c r="I924" s="2">
        <v>0</v>
      </c>
      <c r="J924" s="2">
        <v>1</v>
      </c>
      <c r="K924">
        <f t="shared" si="98"/>
        <v>19.528885066709069</v>
      </c>
      <c r="L924">
        <f t="shared" si="99"/>
        <v>46.199347853855429</v>
      </c>
      <c r="M924">
        <f t="shared" si="100"/>
        <v>2.6131550658769278E-12</v>
      </c>
      <c r="N924">
        <f t="shared" si="101"/>
        <v>0.99999999999738687</v>
      </c>
      <c r="O924">
        <f t="shared" si="102"/>
        <v>0.99999999999738687</v>
      </c>
      <c r="P924">
        <f t="shared" si="103"/>
        <v>-2.6131319330636451E-12</v>
      </c>
    </row>
    <row r="925" spans="1:16" x14ac:dyDescent="0.3">
      <c r="A925" s="2">
        <f t="shared" si="104"/>
        <v>921</v>
      </c>
      <c r="B925" s="2">
        <v>20</v>
      </c>
      <c r="C925" s="2">
        <v>0.8</v>
      </c>
      <c r="D925" s="2">
        <v>25</v>
      </c>
      <c r="E925" s="2">
        <v>1</v>
      </c>
      <c r="F925" s="2">
        <v>45</v>
      </c>
      <c r="G925" s="2">
        <v>0.8</v>
      </c>
      <c r="H925" s="2">
        <v>20</v>
      </c>
      <c r="I925" s="2">
        <v>0</v>
      </c>
      <c r="J925" s="2">
        <v>1</v>
      </c>
      <c r="K925">
        <f t="shared" si="98"/>
        <v>33.227524315876146</v>
      </c>
      <c r="L925">
        <f t="shared" si="99"/>
        <v>37.784398673725924</v>
      </c>
      <c r="M925">
        <f t="shared" si="100"/>
        <v>1.0385813606068356E-2</v>
      </c>
      <c r="N925">
        <f t="shared" si="101"/>
        <v>0.98961418639393162</v>
      </c>
      <c r="O925">
        <f t="shared" si="102"/>
        <v>0.98961418639393162</v>
      </c>
      <c r="P925">
        <f t="shared" si="103"/>
        <v>-1.0440122523656621E-2</v>
      </c>
    </row>
    <row r="926" spans="1:16" x14ac:dyDescent="0.3">
      <c r="A926" s="2">
        <f t="shared" si="104"/>
        <v>922</v>
      </c>
      <c r="B926" s="2">
        <v>25</v>
      </c>
      <c r="C926" s="2">
        <v>0.6</v>
      </c>
      <c r="D926" s="2">
        <v>20</v>
      </c>
      <c r="E926" s="2">
        <v>1</v>
      </c>
      <c r="F926" s="2">
        <v>45</v>
      </c>
      <c r="G926" s="2">
        <v>0.8</v>
      </c>
      <c r="H926" s="2">
        <v>10</v>
      </c>
      <c r="I926" s="2">
        <v>0</v>
      </c>
      <c r="J926" s="2">
        <v>1</v>
      </c>
      <c r="K926">
        <f t="shared" si="98"/>
        <v>13.811006773961173</v>
      </c>
      <c r="L926">
        <f t="shared" si="99"/>
        <v>33.808462424561448</v>
      </c>
      <c r="M926">
        <f t="shared" si="100"/>
        <v>2.0664045904718633E-9</v>
      </c>
      <c r="N926">
        <f t="shared" si="101"/>
        <v>0.99999999793359551</v>
      </c>
      <c r="O926">
        <f t="shared" si="102"/>
        <v>0.99999999793359551</v>
      </c>
      <c r="P926">
        <f t="shared" si="103"/>
        <v>-2.0664044940977284E-9</v>
      </c>
    </row>
    <row r="927" spans="1:16" x14ac:dyDescent="0.3">
      <c r="A927" s="2">
        <f t="shared" si="104"/>
        <v>923</v>
      </c>
      <c r="B927" s="2">
        <v>20</v>
      </c>
      <c r="C927" s="2">
        <v>0.4</v>
      </c>
      <c r="D927" s="2">
        <v>15</v>
      </c>
      <c r="E927" s="2">
        <v>1</v>
      </c>
      <c r="F927" s="2">
        <v>60</v>
      </c>
      <c r="G927" s="2">
        <v>0.9</v>
      </c>
      <c r="H927" s="2">
        <v>20</v>
      </c>
      <c r="I927" s="2">
        <v>1</v>
      </c>
      <c r="J927" s="2">
        <v>0</v>
      </c>
      <c r="K927">
        <f t="shared" si="98"/>
        <v>33.718060114204398</v>
      </c>
      <c r="L927">
        <f t="shared" si="99"/>
        <v>27.200837216626923</v>
      </c>
      <c r="M927">
        <f t="shared" si="100"/>
        <v>0.99852441325353247</v>
      </c>
      <c r="N927">
        <f t="shared" si="101"/>
        <v>1.4755867464675443E-3</v>
      </c>
      <c r="O927">
        <f t="shared" si="102"/>
        <v>0.99852441325353247</v>
      </c>
      <c r="P927">
        <f t="shared" si="103"/>
        <v>-1.4766764967366636E-3</v>
      </c>
    </row>
    <row r="928" spans="1:16" x14ac:dyDescent="0.3">
      <c r="A928" s="2">
        <f t="shared" si="104"/>
        <v>924</v>
      </c>
      <c r="B928" s="2">
        <v>20</v>
      </c>
      <c r="C928" s="2">
        <v>0.8</v>
      </c>
      <c r="D928" s="2">
        <v>15</v>
      </c>
      <c r="E928" s="2">
        <v>1</v>
      </c>
      <c r="F928" s="2">
        <v>60</v>
      </c>
      <c r="G928" s="2">
        <v>0.9</v>
      </c>
      <c r="H928" s="2">
        <v>40</v>
      </c>
      <c r="I928" s="2">
        <v>1</v>
      </c>
      <c r="J928" s="2">
        <v>0</v>
      </c>
      <c r="K928">
        <f t="shared" si="98"/>
        <v>72.551095198034346</v>
      </c>
      <c r="L928">
        <f t="shared" si="99"/>
        <v>20.101732515882446</v>
      </c>
      <c r="M928">
        <f t="shared" si="100"/>
        <v>1</v>
      </c>
      <c r="N928">
        <f t="shared" si="101"/>
        <v>1.6654485003044255E-23</v>
      </c>
      <c r="O928">
        <f t="shared" si="102"/>
        <v>1</v>
      </c>
      <c r="P928">
        <f t="shared" si="103"/>
        <v>0</v>
      </c>
    </row>
    <row r="929" spans="1:16" x14ac:dyDescent="0.3">
      <c r="A929" s="2">
        <f t="shared" si="104"/>
        <v>925</v>
      </c>
      <c r="B929" s="2">
        <v>20</v>
      </c>
      <c r="C929" s="2">
        <v>0.4</v>
      </c>
      <c r="D929" s="2">
        <v>20</v>
      </c>
      <c r="E929" s="2">
        <v>1</v>
      </c>
      <c r="F929" s="2">
        <v>90</v>
      </c>
      <c r="G929" s="2">
        <v>1</v>
      </c>
      <c r="H929" s="2">
        <v>20</v>
      </c>
      <c r="I929" s="2">
        <v>0</v>
      </c>
      <c r="J929" s="2">
        <v>1</v>
      </c>
      <c r="K929">
        <f t="shared" si="98"/>
        <v>36.114555343448615</v>
      </c>
      <c r="L929">
        <f t="shared" si="99"/>
        <v>36.042170295548658</v>
      </c>
      <c r="M929">
        <f t="shared" si="100"/>
        <v>0.51808836468893404</v>
      </c>
      <c r="N929">
        <f t="shared" si="101"/>
        <v>0.4819116353110659</v>
      </c>
      <c r="O929">
        <f t="shared" si="102"/>
        <v>0.4819116353110659</v>
      </c>
      <c r="P929">
        <f t="shared" si="103"/>
        <v>-0.72999451096854795</v>
      </c>
    </row>
    <row r="930" spans="1:16" x14ac:dyDescent="0.3">
      <c r="A930" s="2">
        <f t="shared" si="104"/>
        <v>926</v>
      </c>
      <c r="B930" s="2">
        <v>15</v>
      </c>
      <c r="C930" s="2">
        <v>0.6</v>
      </c>
      <c r="D930" s="2">
        <v>20</v>
      </c>
      <c r="E930" s="2">
        <v>1</v>
      </c>
      <c r="F930" s="2">
        <v>60</v>
      </c>
      <c r="G930" s="2">
        <v>1</v>
      </c>
      <c r="H930" s="2">
        <v>20</v>
      </c>
      <c r="I930" s="2">
        <v>0</v>
      </c>
      <c r="J930" s="2">
        <v>1</v>
      </c>
      <c r="K930">
        <f t="shared" si="98"/>
        <v>32.302636481616688</v>
      </c>
      <c r="L930">
        <f t="shared" si="99"/>
        <v>31.176773465791396</v>
      </c>
      <c r="M930">
        <f t="shared" si="100"/>
        <v>0.75507462550147453</v>
      </c>
      <c r="N930">
        <f t="shared" si="101"/>
        <v>0.24492537449852553</v>
      </c>
      <c r="O930">
        <f t="shared" si="102"/>
        <v>0.24492537449852553</v>
      </c>
      <c r="P930">
        <f t="shared" si="103"/>
        <v>-1.4068017087191182</v>
      </c>
    </row>
    <row r="931" spans="1:16" x14ac:dyDescent="0.3">
      <c r="A931" s="2">
        <f t="shared" si="104"/>
        <v>927</v>
      </c>
      <c r="B931" s="2">
        <v>25</v>
      </c>
      <c r="C931" s="2">
        <v>0.8</v>
      </c>
      <c r="D931" s="2">
        <v>20</v>
      </c>
      <c r="E931" s="2">
        <v>1</v>
      </c>
      <c r="F931" s="2">
        <v>90</v>
      </c>
      <c r="G931" s="2">
        <v>1</v>
      </c>
      <c r="H931" s="2">
        <v>20</v>
      </c>
      <c r="I931" s="2">
        <v>1</v>
      </c>
      <c r="J931" s="2">
        <v>0</v>
      </c>
      <c r="K931">
        <f t="shared" si="98"/>
        <v>36.114555343448615</v>
      </c>
      <c r="L931">
        <f t="shared" si="99"/>
        <v>30.258910074189213</v>
      </c>
      <c r="M931">
        <f t="shared" si="100"/>
        <v>0.99714449013141715</v>
      </c>
      <c r="N931">
        <f t="shared" si="101"/>
        <v>2.8555098685827695E-3</v>
      </c>
      <c r="O931">
        <f t="shared" si="102"/>
        <v>0.99714449013141715</v>
      </c>
      <c r="P931">
        <f t="shared" si="103"/>
        <v>-2.8595946147628548E-3</v>
      </c>
    </row>
    <row r="932" spans="1:16" x14ac:dyDescent="0.3">
      <c r="A932" s="2">
        <f t="shared" si="104"/>
        <v>928</v>
      </c>
      <c r="B932" s="2">
        <v>15</v>
      </c>
      <c r="C932" s="2">
        <v>0.4</v>
      </c>
      <c r="D932" s="2">
        <v>15</v>
      </c>
      <c r="E932" s="2">
        <v>1</v>
      </c>
      <c r="F932" s="2">
        <v>45</v>
      </c>
      <c r="G932" s="2">
        <v>1</v>
      </c>
      <c r="H932" s="2">
        <v>40</v>
      </c>
      <c r="I932" s="2">
        <v>1</v>
      </c>
      <c r="J932" s="2">
        <v>0</v>
      </c>
      <c r="K932">
        <f t="shared" si="98"/>
        <v>69.229712134530658</v>
      </c>
      <c r="L932">
        <f t="shared" si="99"/>
        <v>25.884992737241895</v>
      </c>
      <c r="M932">
        <f t="shared" si="100"/>
        <v>1</v>
      </c>
      <c r="N932">
        <f t="shared" si="101"/>
        <v>1.4983992469798131E-19</v>
      </c>
      <c r="O932">
        <f t="shared" si="102"/>
        <v>1</v>
      </c>
      <c r="P932">
        <f t="shared" si="103"/>
        <v>0</v>
      </c>
    </row>
    <row r="933" spans="1:16" x14ac:dyDescent="0.3">
      <c r="A933" s="2">
        <f t="shared" si="104"/>
        <v>929</v>
      </c>
      <c r="B933" s="2">
        <v>25</v>
      </c>
      <c r="C933" s="2">
        <v>0.8</v>
      </c>
      <c r="D933" s="2">
        <v>15</v>
      </c>
      <c r="E933" s="2">
        <v>1</v>
      </c>
      <c r="F933" s="2">
        <v>90</v>
      </c>
      <c r="G933" s="2">
        <v>0.9</v>
      </c>
      <c r="H933" s="2">
        <v>10</v>
      </c>
      <c r="I933" s="2">
        <v>0</v>
      </c>
      <c r="J933" s="2">
        <v>1</v>
      </c>
      <c r="K933">
        <f t="shared" si="98"/>
        <v>18.113461434121358</v>
      </c>
      <c r="L933">
        <f t="shared" si="99"/>
        <v>21.417576995267474</v>
      </c>
      <c r="M933">
        <f t="shared" si="100"/>
        <v>3.5430270875025989E-2</v>
      </c>
      <c r="N933">
        <f t="shared" si="101"/>
        <v>0.96456972912497407</v>
      </c>
      <c r="O933">
        <f t="shared" si="102"/>
        <v>0.96456972912497407</v>
      </c>
      <c r="P933">
        <f t="shared" si="103"/>
        <v>-3.6073153630090546E-2</v>
      </c>
    </row>
    <row r="934" spans="1:16" x14ac:dyDescent="0.3">
      <c r="A934" s="2">
        <f t="shared" si="104"/>
        <v>930</v>
      </c>
      <c r="B934" s="2">
        <v>25</v>
      </c>
      <c r="C934" s="2">
        <v>0.6</v>
      </c>
      <c r="D934" s="2">
        <v>20</v>
      </c>
      <c r="E934" s="2">
        <v>1</v>
      </c>
      <c r="F934" s="2">
        <v>60</v>
      </c>
      <c r="G934" s="2">
        <v>1</v>
      </c>
      <c r="H934" s="2">
        <v>40</v>
      </c>
      <c r="I934" s="2">
        <v>1</v>
      </c>
      <c r="J934" s="2">
        <v>0</v>
      </c>
      <c r="K934">
        <f t="shared" si="98"/>
        <v>71.135671565446629</v>
      </c>
      <c r="L934">
        <f t="shared" si="99"/>
        <v>33.808462424561448</v>
      </c>
      <c r="M934">
        <f t="shared" si="100"/>
        <v>1</v>
      </c>
      <c r="N934">
        <f t="shared" si="101"/>
        <v>6.1517552033192073E-17</v>
      </c>
      <c r="O934">
        <f t="shared" si="102"/>
        <v>1</v>
      </c>
      <c r="P934">
        <f t="shared" si="103"/>
        <v>0</v>
      </c>
    </row>
    <row r="935" spans="1:16" x14ac:dyDescent="0.3">
      <c r="A935" s="2">
        <f t="shared" si="104"/>
        <v>931</v>
      </c>
      <c r="B935" s="2">
        <v>25</v>
      </c>
      <c r="C935" s="2">
        <v>0.6</v>
      </c>
      <c r="D935" s="2">
        <v>20</v>
      </c>
      <c r="E935" s="2">
        <v>1</v>
      </c>
      <c r="F935" s="2">
        <v>60</v>
      </c>
      <c r="G935" s="2">
        <v>0.8</v>
      </c>
      <c r="H935" s="2">
        <v>20</v>
      </c>
      <c r="I935" s="2">
        <v>1</v>
      </c>
      <c r="J935" s="2">
        <v>0</v>
      </c>
      <c r="K935">
        <f t="shared" si="98"/>
        <v>35.133483746792109</v>
      </c>
      <c r="L935">
        <f t="shared" si="99"/>
        <v>33.808462424561448</v>
      </c>
      <c r="M935">
        <f t="shared" si="100"/>
        <v>0.790015910609567</v>
      </c>
      <c r="N935">
        <f t="shared" si="101"/>
        <v>0.20998408939043298</v>
      </c>
      <c r="O935">
        <f t="shared" si="102"/>
        <v>0.790015910609567</v>
      </c>
      <c r="P935">
        <f t="shared" si="103"/>
        <v>-0.23570219371176707</v>
      </c>
    </row>
    <row r="936" spans="1:16" x14ac:dyDescent="0.3">
      <c r="A936" s="2">
        <f t="shared" si="104"/>
        <v>932</v>
      </c>
      <c r="B936" s="2">
        <v>15</v>
      </c>
      <c r="C936" s="2">
        <v>0.4</v>
      </c>
      <c r="D936" s="2">
        <v>15</v>
      </c>
      <c r="E936" s="2">
        <v>1</v>
      </c>
      <c r="F936" s="2">
        <v>60</v>
      </c>
      <c r="G936" s="2">
        <v>1</v>
      </c>
      <c r="H936" s="2">
        <v>40</v>
      </c>
      <c r="I936" s="2">
        <v>1</v>
      </c>
      <c r="J936" s="2">
        <v>0</v>
      </c>
      <c r="K936">
        <f t="shared" si="98"/>
        <v>71.135671565446629</v>
      </c>
      <c r="L936">
        <f t="shared" si="99"/>
        <v>25.884992737241895</v>
      </c>
      <c r="M936">
        <f t="shared" si="100"/>
        <v>1</v>
      </c>
      <c r="N936">
        <f t="shared" si="101"/>
        <v>2.2278188923748793E-20</v>
      </c>
      <c r="O936">
        <f t="shared" si="102"/>
        <v>1</v>
      </c>
      <c r="P936">
        <f t="shared" si="103"/>
        <v>0</v>
      </c>
    </row>
    <row r="937" spans="1:16" x14ac:dyDescent="0.3">
      <c r="A937" s="2">
        <f t="shared" si="104"/>
        <v>933</v>
      </c>
      <c r="B937" s="2">
        <v>25</v>
      </c>
      <c r="C937" s="2">
        <v>0.8</v>
      </c>
      <c r="D937" s="2">
        <v>25</v>
      </c>
      <c r="E937" s="2">
        <v>1</v>
      </c>
      <c r="F937" s="2">
        <v>45</v>
      </c>
      <c r="G937" s="2">
        <v>0.8</v>
      </c>
      <c r="H937" s="2">
        <v>20</v>
      </c>
      <c r="I937" s="2">
        <v>0</v>
      </c>
      <c r="J937" s="2">
        <v>1</v>
      </c>
      <c r="K937">
        <f t="shared" si="98"/>
        <v>33.227524315876146</v>
      </c>
      <c r="L937">
        <f t="shared" si="99"/>
        <v>39.100243153110959</v>
      </c>
      <c r="M937">
        <f t="shared" si="100"/>
        <v>2.8073056731781685E-3</v>
      </c>
      <c r="N937">
        <f t="shared" si="101"/>
        <v>0.99719269432682178</v>
      </c>
      <c r="O937">
        <f t="shared" si="102"/>
        <v>0.99719269432682178</v>
      </c>
      <c r="P937">
        <f t="shared" si="103"/>
        <v>-2.8112535460712886E-3</v>
      </c>
    </row>
    <row r="938" spans="1:16" x14ac:dyDescent="0.3">
      <c r="A938" s="2">
        <f t="shared" si="104"/>
        <v>934</v>
      </c>
      <c r="B938" s="2">
        <v>20</v>
      </c>
      <c r="C938" s="2">
        <v>0.6</v>
      </c>
      <c r="D938" s="2">
        <v>20</v>
      </c>
      <c r="E938" s="2">
        <v>1</v>
      </c>
      <c r="F938" s="2">
        <v>45</v>
      </c>
      <c r="G938" s="2">
        <v>0.9</v>
      </c>
      <c r="H938" s="2">
        <v>40</v>
      </c>
      <c r="I938" s="2">
        <v>1</v>
      </c>
      <c r="J938" s="2">
        <v>0</v>
      </c>
      <c r="K938">
        <f t="shared" si="98"/>
        <v>70.645135767118376</v>
      </c>
      <c r="L938">
        <f t="shared" si="99"/>
        <v>32.49261794517642</v>
      </c>
      <c r="M938">
        <f t="shared" si="100"/>
        <v>1</v>
      </c>
      <c r="N938">
        <f t="shared" si="101"/>
        <v>2.6950823458938597E-17</v>
      </c>
      <c r="O938">
        <f t="shared" si="102"/>
        <v>1</v>
      </c>
      <c r="P938">
        <f t="shared" si="103"/>
        <v>0</v>
      </c>
    </row>
    <row r="939" spans="1:16" x14ac:dyDescent="0.3">
      <c r="A939" s="2">
        <f t="shared" si="104"/>
        <v>935</v>
      </c>
      <c r="B939" s="2">
        <v>20</v>
      </c>
      <c r="C939" s="2">
        <v>0.8</v>
      </c>
      <c r="D939" s="2">
        <v>25</v>
      </c>
      <c r="E939" s="2">
        <v>1</v>
      </c>
      <c r="F939" s="2">
        <v>60</v>
      </c>
      <c r="G939" s="2">
        <v>0.8</v>
      </c>
      <c r="H939" s="2">
        <v>40</v>
      </c>
      <c r="I939" s="2">
        <v>1</v>
      </c>
      <c r="J939" s="2">
        <v>0</v>
      </c>
      <c r="K939">
        <f t="shared" si="98"/>
        <v>73.96651883062205</v>
      </c>
      <c r="L939">
        <f t="shared" si="99"/>
        <v>37.784398673725924</v>
      </c>
      <c r="M939">
        <f t="shared" si="100"/>
        <v>0.99999999999999989</v>
      </c>
      <c r="N939">
        <f t="shared" si="101"/>
        <v>1.9333250241249156E-16</v>
      </c>
      <c r="O939">
        <f t="shared" si="102"/>
        <v>0.99999999999999989</v>
      </c>
      <c r="P939">
        <f t="shared" si="103"/>
        <v>-1.1102230246251565E-16</v>
      </c>
    </row>
    <row r="940" spans="1:16" x14ac:dyDescent="0.3">
      <c r="A940" s="2">
        <f t="shared" si="104"/>
        <v>936</v>
      </c>
      <c r="B940" s="2">
        <v>25</v>
      </c>
      <c r="C940" s="2">
        <v>0.6</v>
      </c>
      <c r="D940" s="2">
        <v>15</v>
      </c>
      <c r="E940" s="2">
        <v>1</v>
      </c>
      <c r="F940" s="2">
        <v>60</v>
      </c>
      <c r="G940" s="2">
        <v>1</v>
      </c>
      <c r="H940" s="2">
        <v>20</v>
      </c>
      <c r="I940" s="2">
        <v>1</v>
      </c>
      <c r="J940" s="2">
        <v>0</v>
      </c>
      <c r="K940">
        <f t="shared" si="98"/>
        <v>32.302636481616688</v>
      </c>
      <c r="L940">
        <f t="shared" si="99"/>
        <v>24.967129345639712</v>
      </c>
      <c r="M940">
        <f t="shared" si="100"/>
        <v>0.9993484516147596</v>
      </c>
      <c r="N940">
        <f t="shared" si="101"/>
        <v>6.5154838524038978E-4</v>
      </c>
      <c r="O940">
        <f t="shared" si="102"/>
        <v>0.9993484516147596</v>
      </c>
      <c r="P940">
        <f t="shared" si="103"/>
        <v>-6.517607351320475E-4</v>
      </c>
    </row>
    <row r="941" spans="1:16" x14ac:dyDescent="0.3">
      <c r="A941" s="2">
        <f t="shared" si="104"/>
        <v>937</v>
      </c>
      <c r="B941" s="2">
        <v>20</v>
      </c>
      <c r="C941" s="2">
        <v>0.6</v>
      </c>
      <c r="D941" s="2">
        <v>15</v>
      </c>
      <c r="E941" s="2">
        <v>1</v>
      </c>
      <c r="F941" s="2">
        <v>45</v>
      </c>
      <c r="G941" s="2">
        <v>1</v>
      </c>
      <c r="H941" s="2">
        <v>20</v>
      </c>
      <c r="I941" s="2">
        <v>1</v>
      </c>
      <c r="J941" s="2">
        <v>0</v>
      </c>
      <c r="K941">
        <f t="shared" si="98"/>
        <v>30.396677050700724</v>
      </c>
      <c r="L941">
        <f t="shared" si="99"/>
        <v>23.651284866254684</v>
      </c>
      <c r="M941">
        <f t="shared" si="100"/>
        <v>0.99882509475880488</v>
      </c>
      <c r="N941">
        <f t="shared" si="101"/>
        <v>1.1749052411950732E-3</v>
      </c>
      <c r="O941">
        <f t="shared" si="102"/>
        <v>0.99882509475880488</v>
      </c>
      <c r="P941">
        <f t="shared" si="103"/>
        <v>-1.1755959834488189E-3</v>
      </c>
    </row>
    <row r="942" spans="1:16" x14ac:dyDescent="0.3">
      <c r="A942" s="2">
        <f t="shared" si="104"/>
        <v>938</v>
      </c>
      <c r="B942" s="2">
        <v>25</v>
      </c>
      <c r="C942" s="2">
        <v>0.8</v>
      </c>
      <c r="D942" s="2">
        <v>20</v>
      </c>
      <c r="E942" s="2">
        <v>1</v>
      </c>
      <c r="F942" s="2">
        <v>90</v>
      </c>
      <c r="G942" s="2">
        <v>1</v>
      </c>
      <c r="H942" s="2">
        <v>40</v>
      </c>
      <c r="I942" s="2">
        <v>1</v>
      </c>
      <c r="J942" s="2">
        <v>0</v>
      </c>
      <c r="K942">
        <f t="shared" si="98"/>
        <v>74.947590427278556</v>
      </c>
      <c r="L942">
        <f t="shared" si="99"/>
        <v>30.258910074189213</v>
      </c>
      <c r="M942">
        <f t="shared" si="100"/>
        <v>1</v>
      </c>
      <c r="N942">
        <f t="shared" si="101"/>
        <v>3.9079834793988444E-20</v>
      </c>
      <c r="O942">
        <f t="shared" si="102"/>
        <v>1</v>
      </c>
      <c r="P942">
        <f t="shared" si="103"/>
        <v>0</v>
      </c>
    </row>
    <row r="943" spans="1:16" x14ac:dyDescent="0.3">
      <c r="A943" s="2">
        <f t="shared" si="104"/>
        <v>939</v>
      </c>
      <c r="B943" s="2">
        <v>25</v>
      </c>
      <c r="C943" s="2">
        <v>0.4</v>
      </c>
      <c r="D943" s="2">
        <v>20</v>
      </c>
      <c r="E943" s="2">
        <v>1</v>
      </c>
      <c r="F943" s="2">
        <v>60</v>
      </c>
      <c r="G943" s="2">
        <v>0.9</v>
      </c>
      <c r="H943" s="2">
        <v>10</v>
      </c>
      <c r="I943" s="2">
        <v>0</v>
      </c>
      <c r="J943" s="2">
        <v>1</v>
      </c>
      <c r="K943">
        <f t="shared" si="98"/>
        <v>14.301542572289428</v>
      </c>
      <c r="L943">
        <f t="shared" si="99"/>
        <v>37.358014774933686</v>
      </c>
      <c r="M943">
        <f t="shared" si="100"/>
        <v>9.6984280938132312E-11</v>
      </c>
      <c r="N943">
        <f t="shared" si="101"/>
        <v>0.99999999990301569</v>
      </c>
      <c r="O943">
        <f t="shared" si="102"/>
        <v>0.99999999990301569</v>
      </c>
      <c r="P943">
        <f t="shared" si="103"/>
        <v>-9.6984309476950761E-11</v>
      </c>
    </row>
    <row r="944" spans="1:16" x14ac:dyDescent="0.3">
      <c r="A944" s="2">
        <f t="shared" si="104"/>
        <v>940</v>
      </c>
      <c r="B944" s="2">
        <v>25</v>
      </c>
      <c r="C944" s="2">
        <v>0.6</v>
      </c>
      <c r="D944" s="2">
        <v>15</v>
      </c>
      <c r="E944" s="2">
        <v>1</v>
      </c>
      <c r="F944" s="2">
        <v>45</v>
      </c>
      <c r="G944" s="2">
        <v>0.9</v>
      </c>
      <c r="H944" s="2">
        <v>40</v>
      </c>
      <c r="I944" s="2">
        <v>1</v>
      </c>
      <c r="J944" s="2">
        <v>0</v>
      </c>
      <c r="K944">
        <f t="shared" si="98"/>
        <v>70.645135767118376</v>
      </c>
      <c r="L944">
        <f t="shared" si="99"/>
        <v>24.967129345639712</v>
      </c>
      <c r="M944">
        <f t="shared" si="100"/>
        <v>1</v>
      </c>
      <c r="N944">
        <f t="shared" si="101"/>
        <v>1.4530945262665075E-20</v>
      </c>
      <c r="O944">
        <f t="shared" si="102"/>
        <v>1</v>
      </c>
      <c r="P944">
        <f t="shared" si="103"/>
        <v>0</v>
      </c>
    </row>
    <row r="945" spans="1:16" x14ac:dyDescent="0.3">
      <c r="A945" s="2">
        <f t="shared" si="104"/>
        <v>941</v>
      </c>
      <c r="B945" s="2">
        <v>20</v>
      </c>
      <c r="C945" s="2">
        <v>0.8</v>
      </c>
      <c r="D945" s="2">
        <v>15</v>
      </c>
      <c r="E945" s="2">
        <v>1</v>
      </c>
      <c r="F945" s="2">
        <v>60</v>
      </c>
      <c r="G945" s="2">
        <v>1</v>
      </c>
      <c r="H945" s="2">
        <v>20</v>
      </c>
      <c r="I945" s="2">
        <v>1</v>
      </c>
      <c r="J945" s="2">
        <v>0</v>
      </c>
      <c r="K945">
        <f t="shared" si="98"/>
        <v>32.302636481616688</v>
      </c>
      <c r="L945">
        <f t="shared" si="99"/>
        <v>20.101732515882446</v>
      </c>
      <c r="M945">
        <f t="shared" si="100"/>
        <v>0.9999949741149573</v>
      </c>
      <c r="N945">
        <f t="shared" si="101"/>
        <v>5.0258850426769862E-6</v>
      </c>
      <c r="O945">
        <f t="shared" si="102"/>
        <v>0.9999949741149573</v>
      </c>
      <c r="P945">
        <f t="shared" si="103"/>
        <v>-5.0258976725001794E-6</v>
      </c>
    </row>
    <row r="946" spans="1:16" x14ac:dyDescent="0.3">
      <c r="A946" s="2">
        <f t="shared" si="104"/>
        <v>942</v>
      </c>
      <c r="B946" s="2">
        <v>15</v>
      </c>
      <c r="C946" s="2">
        <v>0.4</v>
      </c>
      <c r="D946" s="2">
        <v>15</v>
      </c>
      <c r="E946" s="2">
        <v>1</v>
      </c>
      <c r="F946" s="2">
        <v>90</v>
      </c>
      <c r="G946" s="2">
        <v>0.9</v>
      </c>
      <c r="H946" s="2">
        <v>20</v>
      </c>
      <c r="I946" s="2">
        <v>1</v>
      </c>
      <c r="J946" s="2">
        <v>0</v>
      </c>
      <c r="K946">
        <f t="shared" si="98"/>
        <v>37.529978976036332</v>
      </c>
      <c r="L946">
        <f t="shared" si="99"/>
        <v>25.884992737241895</v>
      </c>
      <c r="M946">
        <f t="shared" si="100"/>
        <v>0.9999912371994063</v>
      </c>
      <c r="N946">
        <f t="shared" si="101"/>
        <v>8.7628005936941038E-6</v>
      </c>
      <c r="O946">
        <f t="shared" si="102"/>
        <v>0.9999912371994063</v>
      </c>
      <c r="P946">
        <f t="shared" si="103"/>
        <v>-8.7628389872593524E-6</v>
      </c>
    </row>
    <row r="947" spans="1:16" x14ac:dyDescent="0.3">
      <c r="A947" s="2">
        <f t="shared" si="104"/>
        <v>943</v>
      </c>
      <c r="B947" s="2">
        <v>15</v>
      </c>
      <c r="C947" s="2">
        <v>0.8</v>
      </c>
      <c r="D947" s="2">
        <v>25</v>
      </c>
      <c r="E947" s="2">
        <v>1</v>
      </c>
      <c r="F947" s="2">
        <v>90</v>
      </c>
      <c r="G947" s="2">
        <v>0.8</v>
      </c>
      <c r="H947" s="2">
        <v>10</v>
      </c>
      <c r="I947" s="2">
        <v>0</v>
      </c>
      <c r="J947" s="2">
        <v>1</v>
      </c>
      <c r="K947">
        <f t="shared" si="98"/>
        <v>19.528885066709069</v>
      </c>
      <c r="L947">
        <f t="shared" si="99"/>
        <v>36.468554194340904</v>
      </c>
      <c r="M947">
        <f t="shared" si="100"/>
        <v>4.3973917116514905E-8</v>
      </c>
      <c r="N947">
        <f t="shared" si="101"/>
        <v>0.99999995602608283</v>
      </c>
      <c r="O947">
        <f t="shared" si="102"/>
        <v>0.99999995602608283</v>
      </c>
      <c r="P947">
        <f t="shared" si="103"/>
        <v>-4.3973918141108642E-8</v>
      </c>
    </row>
    <row r="948" spans="1:16" x14ac:dyDescent="0.3">
      <c r="A948" s="2">
        <f t="shared" si="104"/>
        <v>944</v>
      </c>
      <c r="B948" s="2">
        <v>20</v>
      </c>
      <c r="C948" s="2">
        <v>0.4</v>
      </c>
      <c r="D948" s="2">
        <v>25</v>
      </c>
      <c r="E948" s="2">
        <v>1</v>
      </c>
      <c r="F948" s="2">
        <v>90</v>
      </c>
      <c r="G948" s="2">
        <v>1</v>
      </c>
      <c r="H948" s="2">
        <v>20</v>
      </c>
      <c r="I948" s="2">
        <v>0</v>
      </c>
      <c r="J948" s="2">
        <v>1</v>
      </c>
      <c r="K948">
        <f t="shared" si="98"/>
        <v>36.114555343448615</v>
      </c>
      <c r="L948">
        <f t="shared" si="99"/>
        <v>44.883503374470401</v>
      </c>
      <c r="M948">
        <f t="shared" si="100"/>
        <v>1.5546288974299823E-4</v>
      </c>
      <c r="N948">
        <f t="shared" si="101"/>
        <v>0.999844537110257</v>
      </c>
      <c r="O948">
        <f t="shared" si="102"/>
        <v>0.999844537110257</v>
      </c>
      <c r="P948">
        <f t="shared" si="103"/>
        <v>-1.5547497535063211E-4</v>
      </c>
    </row>
    <row r="949" spans="1:16" x14ac:dyDescent="0.3">
      <c r="A949" s="2">
        <f t="shared" si="104"/>
        <v>945</v>
      </c>
      <c r="B949" s="2">
        <v>25</v>
      </c>
      <c r="C949" s="2">
        <v>0.8</v>
      </c>
      <c r="D949" s="2">
        <v>25</v>
      </c>
      <c r="E949" s="2">
        <v>1</v>
      </c>
      <c r="F949" s="2">
        <v>45</v>
      </c>
      <c r="G949" s="2">
        <v>0.8</v>
      </c>
      <c r="H949" s="2">
        <v>20</v>
      </c>
      <c r="I949" s="2">
        <v>0</v>
      </c>
      <c r="J949" s="2">
        <v>1</v>
      </c>
      <c r="K949">
        <f t="shared" si="98"/>
        <v>33.227524315876146</v>
      </c>
      <c r="L949">
        <f t="shared" si="99"/>
        <v>39.100243153110959</v>
      </c>
      <c r="M949">
        <f t="shared" si="100"/>
        <v>2.8073056731781685E-3</v>
      </c>
      <c r="N949">
        <f t="shared" si="101"/>
        <v>0.99719269432682178</v>
      </c>
      <c r="O949">
        <f t="shared" si="102"/>
        <v>0.99719269432682178</v>
      </c>
      <c r="P949">
        <f t="shared" si="103"/>
        <v>-2.8112535460712886E-3</v>
      </c>
    </row>
    <row r="950" spans="1:16" x14ac:dyDescent="0.3">
      <c r="A950" s="2">
        <f t="shared" si="104"/>
        <v>946</v>
      </c>
      <c r="B950" s="2">
        <v>20</v>
      </c>
      <c r="C950" s="2">
        <v>0.8</v>
      </c>
      <c r="D950" s="2">
        <v>15</v>
      </c>
      <c r="E950" s="2">
        <v>1</v>
      </c>
      <c r="F950" s="2">
        <v>60</v>
      </c>
      <c r="G950" s="2">
        <v>1</v>
      </c>
      <c r="H950" s="2">
        <v>10</v>
      </c>
      <c r="I950" s="2">
        <v>0</v>
      </c>
      <c r="J950" s="2">
        <v>1</v>
      </c>
      <c r="K950">
        <f t="shared" si="98"/>
        <v>12.886118939701717</v>
      </c>
      <c r="L950">
        <f t="shared" si="99"/>
        <v>20.101732515882446</v>
      </c>
      <c r="M950">
        <f t="shared" si="100"/>
        <v>7.3447960813862172E-4</v>
      </c>
      <c r="N950">
        <f t="shared" si="101"/>
        <v>0.99926552039186145</v>
      </c>
      <c r="O950">
        <f t="shared" si="102"/>
        <v>0.99926552039186145</v>
      </c>
      <c r="P950">
        <f t="shared" si="103"/>
        <v>-7.3474947043292778E-4</v>
      </c>
    </row>
    <row r="951" spans="1:16" x14ac:dyDescent="0.3">
      <c r="A951" s="2">
        <f t="shared" si="104"/>
        <v>947</v>
      </c>
      <c r="B951" s="2">
        <v>15</v>
      </c>
      <c r="C951" s="2">
        <v>0.6</v>
      </c>
      <c r="D951" s="2">
        <v>25</v>
      </c>
      <c r="E951" s="2">
        <v>1</v>
      </c>
      <c r="F951" s="2">
        <v>90</v>
      </c>
      <c r="G951" s="2">
        <v>0.8</v>
      </c>
      <c r="H951" s="2">
        <v>20</v>
      </c>
      <c r="I951" s="2">
        <v>0</v>
      </c>
      <c r="J951" s="2">
        <v>1</v>
      </c>
      <c r="K951">
        <f t="shared" si="98"/>
        <v>38.945402608624036</v>
      </c>
      <c r="L951">
        <f t="shared" si="99"/>
        <v>40.018106544713142</v>
      </c>
      <c r="M951">
        <f t="shared" si="100"/>
        <v>0.25488921047155527</v>
      </c>
      <c r="N951">
        <f t="shared" si="101"/>
        <v>0.74511078952844478</v>
      </c>
      <c r="O951">
        <f t="shared" si="102"/>
        <v>0.74511078952844478</v>
      </c>
      <c r="P951">
        <f t="shared" si="103"/>
        <v>-0.29422236088249298</v>
      </c>
    </row>
    <row r="952" spans="1:16" x14ac:dyDescent="0.3">
      <c r="A952" s="2">
        <f t="shared" si="104"/>
        <v>948</v>
      </c>
      <c r="B952" s="2">
        <v>15</v>
      </c>
      <c r="C952" s="2">
        <v>0.8</v>
      </c>
      <c r="D952" s="2">
        <v>20</v>
      </c>
      <c r="E952" s="2">
        <v>1</v>
      </c>
      <c r="F952" s="2">
        <v>45</v>
      </c>
      <c r="G952" s="2">
        <v>0.9</v>
      </c>
      <c r="H952" s="2">
        <v>10</v>
      </c>
      <c r="I952" s="2">
        <v>0</v>
      </c>
      <c r="J952" s="2">
        <v>1</v>
      </c>
      <c r="K952">
        <f t="shared" si="98"/>
        <v>12.395583141373463</v>
      </c>
      <c r="L952">
        <f t="shared" si="99"/>
        <v>27.627221115419157</v>
      </c>
      <c r="M952">
        <f t="shared" si="100"/>
        <v>2.4265183065499071E-7</v>
      </c>
      <c r="N952">
        <f t="shared" si="101"/>
        <v>0.99999975734816926</v>
      </c>
      <c r="O952">
        <f t="shared" si="102"/>
        <v>0.99999975734816926</v>
      </c>
      <c r="P952">
        <f t="shared" si="103"/>
        <v>-2.4265186017964213E-7</v>
      </c>
    </row>
    <row r="953" spans="1:16" x14ac:dyDescent="0.3">
      <c r="A953" s="2">
        <f t="shared" si="104"/>
        <v>949</v>
      </c>
      <c r="B953" s="2">
        <v>15</v>
      </c>
      <c r="C953" s="2">
        <v>0.8</v>
      </c>
      <c r="D953" s="2">
        <v>20</v>
      </c>
      <c r="E953" s="2">
        <v>1</v>
      </c>
      <c r="F953" s="2">
        <v>60</v>
      </c>
      <c r="G953" s="2">
        <v>1</v>
      </c>
      <c r="H953" s="2">
        <v>40</v>
      </c>
      <c r="I953" s="2">
        <v>1</v>
      </c>
      <c r="J953" s="2">
        <v>0</v>
      </c>
      <c r="K953">
        <f t="shared" si="98"/>
        <v>71.135671565446629</v>
      </c>
      <c r="L953">
        <f t="shared" si="99"/>
        <v>27.627221115419157</v>
      </c>
      <c r="M953">
        <f t="shared" si="100"/>
        <v>1</v>
      </c>
      <c r="N953">
        <f t="shared" si="101"/>
        <v>1.2720964873288746E-19</v>
      </c>
      <c r="O953">
        <f t="shared" si="102"/>
        <v>1</v>
      </c>
      <c r="P953">
        <f t="shared" si="103"/>
        <v>0</v>
      </c>
    </row>
    <row r="954" spans="1:16" x14ac:dyDescent="0.3">
      <c r="A954" s="2">
        <f t="shared" si="104"/>
        <v>950</v>
      </c>
      <c r="B954" s="2">
        <v>15</v>
      </c>
      <c r="C954" s="2">
        <v>0.8</v>
      </c>
      <c r="D954" s="2">
        <v>25</v>
      </c>
      <c r="E954" s="2">
        <v>1</v>
      </c>
      <c r="F954" s="2">
        <v>90</v>
      </c>
      <c r="G954" s="2">
        <v>0.8</v>
      </c>
      <c r="H954" s="2">
        <v>10</v>
      </c>
      <c r="I954" s="2">
        <v>0</v>
      </c>
      <c r="J954" s="2">
        <v>1</v>
      </c>
      <c r="K954">
        <f t="shared" si="98"/>
        <v>19.528885066709069</v>
      </c>
      <c r="L954">
        <f t="shared" si="99"/>
        <v>36.468554194340904</v>
      </c>
      <c r="M954">
        <f t="shared" si="100"/>
        <v>4.3973917116514905E-8</v>
      </c>
      <c r="N954">
        <f t="shared" si="101"/>
        <v>0.99999995602608283</v>
      </c>
      <c r="O954">
        <f t="shared" si="102"/>
        <v>0.99999995602608283</v>
      </c>
      <c r="P954">
        <f t="shared" si="103"/>
        <v>-4.3973918141108642E-8</v>
      </c>
    </row>
    <row r="955" spans="1:16" x14ac:dyDescent="0.3">
      <c r="A955" s="2">
        <f t="shared" si="104"/>
        <v>951</v>
      </c>
      <c r="B955" s="2">
        <v>20</v>
      </c>
      <c r="C955" s="2">
        <v>0.6</v>
      </c>
      <c r="D955" s="2">
        <v>25</v>
      </c>
      <c r="E955" s="2">
        <v>1</v>
      </c>
      <c r="F955" s="2">
        <v>45</v>
      </c>
      <c r="G955" s="2">
        <v>0.9</v>
      </c>
      <c r="H955" s="2">
        <v>10</v>
      </c>
      <c r="I955" s="2">
        <v>0</v>
      </c>
      <c r="J955" s="2">
        <v>1</v>
      </c>
      <c r="K955">
        <f t="shared" si="98"/>
        <v>12.395583141373463</v>
      </c>
      <c r="L955">
        <f t="shared" si="99"/>
        <v>41.33395102409817</v>
      </c>
      <c r="M955">
        <f t="shared" si="100"/>
        <v>2.7053690247667398E-13</v>
      </c>
      <c r="N955">
        <f t="shared" si="101"/>
        <v>0.99999999999972944</v>
      </c>
      <c r="O955">
        <f t="shared" si="102"/>
        <v>0.99999999999972944</v>
      </c>
      <c r="P955">
        <f t="shared" si="103"/>
        <v>-2.7056135110118725E-13</v>
      </c>
    </row>
    <row r="956" spans="1:16" x14ac:dyDescent="0.3">
      <c r="A956" s="2">
        <f t="shared" si="104"/>
        <v>952</v>
      </c>
      <c r="B956" s="2">
        <v>20</v>
      </c>
      <c r="C956" s="2">
        <v>0.4</v>
      </c>
      <c r="D956" s="2">
        <v>20</v>
      </c>
      <c r="E956" s="2">
        <v>1</v>
      </c>
      <c r="F956" s="2">
        <v>60</v>
      </c>
      <c r="G956" s="2">
        <v>0.9</v>
      </c>
      <c r="H956" s="2">
        <v>10</v>
      </c>
      <c r="I956" s="2">
        <v>0</v>
      </c>
      <c r="J956" s="2">
        <v>1</v>
      </c>
      <c r="K956">
        <f t="shared" si="98"/>
        <v>14.301542572289428</v>
      </c>
      <c r="L956">
        <f t="shared" si="99"/>
        <v>36.042170295548658</v>
      </c>
      <c r="M956">
        <f t="shared" si="100"/>
        <v>3.6154748639990369E-10</v>
      </c>
      <c r="N956">
        <f t="shared" si="101"/>
        <v>0.99999999963845254</v>
      </c>
      <c r="O956">
        <f t="shared" si="102"/>
        <v>0.99999999963845254</v>
      </c>
      <c r="P956">
        <f t="shared" si="103"/>
        <v>-3.6154745870361438E-10</v>
      </c>
    </row>
    <row r="957" spans="1:16" x14ac:dyDescent="0.3">
      <c r="A957" s="2">
        <f t="shared" si="104"/>
        <v>953</v>
      </c>
      <c r="B957" s="2">
        <v>25</v>
      </c>
      <c r="C957" s="2">
        <v>0.4</v>
      </c>
      <c r="D957" s="2">
        <v>15</v>
      </c>
      <c r="E957" s="2">
        <v>1</v>
      </c>
      <c r="F957" s="2">
        <v>45</v>
      </c>
      <c r="G957" s="2">
        <v>0.8</v>
      </c>
      <c r="H957" s="2">
        <v>40</v>
      </c>
      <c r="I957" s="2">
        <v>1</v>
      </c>
      <c r="J957" s="2">
        <v>0</v>
      </c>
      <c r="K957">
        <f t="shared" si="98"/>
        <v>72.060559399706079</v>
      </c>
      <c r="L957">
        <f t="shared" si="99"/>
        <v>28.51668169601195</v>
      </c>
      <c r="M957">
        <f t="shared" si="100"/>
        <v>1</v>
      </c>
      <c r="N957">
        <f t="shared" si="101"/>
        <v>1.2278185561044421E-19</v>
      </c>
      <c r="O957">
        <f t="shared" si="102"/>
        <v>1</v>
      </c>
      <c r="P957">
        <f t="shared" si="103"/>
        <v>0</v>
      </c>
    </row>
    <row r="958" spans="1:16" x14ac:dyDescent="0.3">
      <c r="A958" s="2">
        <f t="shared" si="104"/>
        <v>954</v>
      </c>
      <c r="B958" s="2">
        <v>15</v>
      </c>
      <c r="C958" s="2">
        <v>0.4</v>
      </c>
      <c r="D958" s="2">
        <v>15</v>
      </c>
      <c r="E958" s="2">
        <v>1</v>
      </c>
      <c r="F958" s="2">
        <v>90</v>
      </c>
      <c r="G958" s="2">
        <v>0.8</v>
      </c>
      <c r="H958" s="2">
        <v>10</v>
      </c>
      <c r="I958" s="2">
        <v>0</v>
      </c>
      <c r="J958" s="2">
        <v>1</v>
      </c>
      <c r="K958">
        <f t="shared" si="98"/>
        <v>19.528885066709069</v>
      </c>
      <c r="L958">
        <f t="shared" si="99"/>
        <v>25.884992737241895</v>
      </c>
      <c r="M958">
        <f t="shared" si="100"/>
        <v>1.7331022360140627E-3</v>
      </c>
      <c r="N958">
        <f t="shared" si="101"/>
        <v>0.99826689776398592</v>
      </c>
      <c r="O958">
        <f t="shared" si="102"/>
        <v>0.99826689776398592</v>
      </c>
      <c r="P958">
        <f t="shared" si="103"/>
        <v>-1.7346057951599303E-3</v>
      </c>
    </row>
    <row r="959" spans="1:16" x14ac:dyDescent="0.3">
      <c r="A959" s="2">
        <f t="shared" si="104"/>
        <v>955</v>
      </c>
      <c r="B959" s="2">
        <v>25</v>
      </c>
      <c r="C959" s="2">
        <v>0.8</v>
      </c>
      <c r="D959" s="2">
        <v>15</v>
      </c>
      <c r="E959" s="2">
        <v>1</v>
      </c>
      <c r="F959" s="2">
        <v>90</v>
      </c>
      <c r="G959" s="2">
        <v>0.9</v>
      </c>
      <c r="H959" s="2">
        <v>40</v>
      </c>
      <c r="I959" s="2">
        <v>1</v>
      </c>
      <c r="J959" s="2">
        <v>0</v>
      </c>
      <c r="K959">
        <f t="shared" si="98"/>
        <v>76.363014059866273</v>
      </c>
      <c r="L959">
        <f t="shared" si="99"/>
        <v>21.417576995267474</v>
      </c>
      <c r="M959">
        <f t="shared" si="100"/>
        <v>1</v>
      </c>
      <c r="N959">
        <f t="shared" si="101"/>
        <v>1.3724605725622088E-24</v>
      </c>
      <c r="O959">
        <f t="shared" si="102"/>
        <v>1</v>
      </c>
      <c r="P959">
        <f t="shared" si="103"/>
        <v>0</v>
      </c>
    </row>
    <row r="960" spans="1:16" x14ac:dyDescent="0.3">
      <c r="A960" s="2">
        <f t="shared" si="104"/>
        <v>956</v>
      </c>
      <c r="B960" s="2">
        <v>15</v>
      </c>
      <c r="C960" s="2">
        <v>0.4</v>
      </c>
      <c r="D960" s="2">
        <v>20</v>
      </c>
      <c r="E960" s="2">
        <v>1</v>
      </c>
      <c r="F960" s="2">
        <v>90</v>
      </c>
      <c r="G960" s="2">
        <v>0.8</v>
      </c>
      <c r="H960" s="2">
        <v>10</v>
      </c>
      <c r="I960" s="2">
        <v>0</v>
      </c>
      <c r="J960" s="2">
        <v>1</v>
      </c>
      <c r="K960">
        <f t="shared" si="98"/>
        <v>19.528885066709069</v>
      </c>
      <c r="L960">
        <f t="shared" si="99"/>
        <v>34.72632581616363</v>
      </c>
      <c r="M960">
        <f t="shared" si="100"/>
        <v>2.5109336357368735E-7</v>
      </c>
      <c r="N960">
        <f t="shared" si="101"/>
        <v>0.99999974890663645</v>
      </c>
      <c r="O960">
        <f t="shared" si="102"/>
        <v>0.99999974890663645</v>
      </c>
      <c r="P960">
        <f t="shared" si="103"/>
        <v>-2.5109339506972848E-7</v>
      </c>
    </row>
    <row r="961" spans="1:16" x14ac:dyDescent="0.3">
      <c r="A961" s="2">
        <f t="shared" si="104"/>
        <v>957</v>
      </c>
      <c r="B961" s="2">
        <v>20</v>
      </c>
      <c r="C961" s="2">
        <v>0.8</v>
      </c>
      <c r="D961" s="2">
        <v>15</v>
      </c>
      <c r="E961" s="2">
        <v>1</v>
      </c>
      <c r="F961" s="2">
        <v>90</v>
      </c>
      <c r="G961" s="2">
        <v>0.9</v>
      </c>
      <c r="H961" s="2">
        <v>20</v>
      </c>
      <c r="I961" s="2">
        <v>1</v>
      </c>
      <c r="J961" s="2">
        <v>0</v>
      </c>
      <c r="K961">
        <f t="shared" si="98"/>
        <v>37.529978976036332</v>
      </c>
      <c r="L961">
        <f t="shared" si="99"/>
        <v>20.101732515882446</v>
      </c>
      <c r="M961">
        <f t="shared" si="100"/>
        <v>0.99999997302206389</v>
      </c>
      <c r="N961">
        <f t="shared" si="101"/>
        <v>2.6977936082910551E-8</v>
      </c>
      <c r="O961">
        <f t="shared" si="102"/>
        <v>0.99999997302206389</v>
      </c>
      <c r="P961">
        <f t="shared" si="103"/>
        <v>-2.6977936471190907E-8</v>
      </c>
    </row>
    <row r="962" spans="1:16" x14ac:dyDescent="0.3">
      <c r="A962" s="2">
        <f t="shared" si="104"/>
        <v>958</v>
      </c>
      <c r="B962" s="2">
        <v>15</v>
      </c>
      <c r="C962" s="2">
        <v>0.4</v>
      </c>
      <c r="D962" s="2">
        <v>15</v>
      </c>
      <c r="E962" s="2">
        <v>1</v>
      </c>
      <c r="F962" s="2">
        <v>60</v>
      </c>
      <c r="G962" s="2">
        <v>1</v>
      </c>
      <c r="H962" s="2">
        <v>40</v>
      </c>
      <c r="I962" s="2">
        <v>1</v>
      </c>
      <c r="J962" s="2">
        <v>0</v>
      </c>
      <c r="K962">
        <f t="shared" si="98"/>
        <v>71.135671565446629</v>
      </c>
      <c r="L962">
        <f t="shared" si="99"/>
        <v>25.884992737241895</v>
      </c>
      <c r="M962">
        <f t="shared" si="100"/>
        <v>1</v>
      </c>
      <c r="N962">
        <f t="shared" si="101"/>
        <v>2.2278188923748793E-20</v>
      </c>
      <c r="O962">
        <f t="shared" si="102"/>
        <v>1</v>
      </c>
      <c r="P962">
        <f t="shared" si="103"/>
        <v>0</v>
      </c>
    </row>
    <row r="963" spans="1:16" x14ac:dyDescent="0.3">
      <c r="A963" s="2">
        <f t="shared" si="104"/>
        <v>959</v>
      </c>
      <c r="B963" s="2">
        <v>15</v>
      </c>
      <c r="C963" s="2">
        <v>0.6</v>
      </c>
      <c r="D963" s="2">
        <v>20</v>
      </c>
      <c r="E963" s="2">
        <v>1</v>
      </c>
      <c r="F963" s="2">
        <v>90</v>
      </c>
      <c r="G963" s="2">
        <v>0.8</v>
      </c>
      <c r="H963" s="2">
        <v>10</v>
      </c>
      <c r="I963" s="2">
        <v>0</v>
      </c>
      <c r="J963" s="2">
        <v>1</v>
      </c>
      <c r="K963">
        <f t="shared" si="98"/>
        <v>19.528885066709069</v>
      </c>
      <c r="L963">
        <f t="shared" si="99"/>
        <v>31.176773465791396</v>
      </c>
      <c r="M963">
        <f t="shared" si="100"/>
        <v>8.737406630501065E-6</v>
      </c>
      <c r="N963">
        <f t="shared" si="101"/>
        <v>0.99999126259336946</v>
      </c>
      <c r="O963">
        <f t="shared" si="102"/>
        <v>0.99999126259336946</v>
      </c>
      <c r="P963">
        <f t="shared" si="103"/>
        <v>-8.7374448019031139E-6</v>
      </c>
    </row>
    <row r="964" spans="1:16" x14ac:dyDescent="0.3">
      <c r="A964" s="2">
        <f t="shared" si="104"/>
        <v>960</v>
      </c>
      <c r="B964" s="2">
        <v>20</v>
      </c>
      <c r="C964" s="2">
        <v>0.4</v>
      </c>
      <c r="D964" s="2">
        <v>25</v>
      </c>
      <c r="E964" s="2">
        <v>1</v>
      </c>
      <c r="F964" s="2">
        <v>45</v>
      </c>
      <c r="G964" s="2">
        <v>0.8</v>
      </c>
      <c r="H964" s="2">
        <v>20</v>
      </c>
      <c r="I964" s="2">
        <v>0</v>
      </c>
      <c r="J964" s="2">
        <v>1</v>
      </c>
      <c r="K964">
        <f t="shared" si="98"/>
        <v>33.227524315876146</v>
      </c>
      <c r="L964">
        <f t="shared" si="99"/>
        <v>44.883503374470401</v>
      </c>
      <c r="M964">
        <f t="shared" si="100"/>
        <v>8.6670010589271347E-6</v>
      </c>
      <c r="N964">
        <f t="shared" si="101"/>
        <v>0.99999133299894116</v>
      </c>
      <c r="O964">
        <f t="shared" si="102"/>
        <v>0.99999133299894116</v>
      </c>
      <c r="P964">
        <f t="shared" si="103"/>
        <v>-8.6670386175081342E-6</v>
      </c>
    </row>
    <row r="965" spans="1:16" x14ac:dyDescent="0.3">
      <c r="A965" s="2">
        <f t="shared" si="104"/>
        <v>961</v>
      </c>
      <c r="B965" s="2">
        <v>20</v>
      </c>
      <c r="C965" s="2">
        <v>0.4</v>
      </c>
      <c r="D965" s="2">
        <v>15</v>
      </c>
      <c r="E965" s="2">
        <v>1</v>
      </c>
      <c r="F965" s="2">
        <v>90</v>
      </c>
      <c r="G965" s="2">
        <v>0.8</v>
      </c>
      <c r="H965" s="2">
        <v>20</v>
      </c>
      <c r="I965" s="2">
        <v>1</v>
      </c>
      <c r="J965" s="2">
        <v>0</v>
      </c>
      <c r="K965">
        <f t="shared" si="98"/>
        <v>38.945402608624036</v>
      </c>
      <c r="L965">
        <f t="shared" si="99"/>
        <v>27.200837216626923</v>
      </c>
      <c r="M965">
        <f t="shared" si="100"/>
        <v>0.99999206774598937</v>
      </c>
      <c r="N965">
        <f t="shared" si="101"/>
        <v>7.932254010694551E-6</v>
      </c>
      <c r="O965">
        <f t="shared" si="102"/>
        <v>0.99999206774598937</v>
      </c>
      <c r="P965">
        <f t="shared" si="103"/>
        <v>-7.9322854711273461E-6</v>
      </c>
    </row>
    <row r="966" spans="1:16" x14ac:dyDescent="0.3">
      <c r="A966" s="2">
        <f t="shared" si="104"/>
        <v>962</v>
      </c>
      <c r="B966" s="2">
        <v>20</v>
      </c>
      <c r="C966" s="2">
        <v>0.6</v>
      </c>
      <c r="D966" s="2">
        <v>20</v>
      </c>
      <c r="E966" s="2">
        <v>1</v>
      </c>
      <c r="F966" s="2">
        <v>60</v>
      </c>
      <c r="G966" s="2">
        <v>1</v>
      </c>
      <c r="H966" s="2">
        <v>10</v>
      </c>
      <c r="I966" s="2">
        <v>0</v>
      </c>
      <c r="J966" s="2">
        <v>1</v>
      </c>
      <c r="K966">
        <f t="shared" ref="K966:K1004" si="105">$F$3*F966+$G$3*G966+$H$3*H966</f>
        <v>12.886118939701717</v>
      </c>
      <c r="L966">
        <f t="shared" ref="L966:L1004" si="106">$B$3*B966+$C$3*C966+$D$3*D966+$E$3*E966</f>
        <v>32.49261794517642</v>
      </c>
      <c r="M966">
        <f t="shared" ref="M966:M1004" si="107">EXP(K966)/(EXP(K966)+EXP(L966))</f>
        <v>3.0549610055970583E-9</v>
      </c>
      <c r="N966">
        <f t="shared" ref="N966:N1004" si="108">EXP(L966)/(EXP(L966)+EXP(K966))</f>
        <v>0.99999999694503894</v>
      </c>
      <c r="O966">
        <f t="shared" ref="O966:O1004" si="109">I966*M966+J966*N966</f>
        <v>0.99999999694503894</v>
      </c>
      <c r="P966">
        <f t="shared" ref="P966:P1004" si="110">LN(O966)</f>
        <v>-3.0549610665654576E-9</v>
      </c>
    </row>
    <row r="967" spans="1:16" x14ac:dyDescent="0.3">
      <c r="A967" s="2">
        <f t="shared" ref="A967:A1004" si="111">A966+1</f>
        <v>963</v>
      </c>
      <c r="B967" s="2">
        <v>25</v>
      </c>
      <c r="C967" s="2">
        <v>0.4</v>
      </c>
      <c r="D967" s="2">
        <v>20</v>
      </c>
      <c r="E967" s="2">
        <v>1</v>
      </c>
      <c r="F967" s="2">
        <v>45</v>
      </c>
      <c r="G967" s="2">
        <v>0.8</v>
      </c>
      <c r="H967" s="2">
        <v>10</v>
      </c>
      <c r="I967" s="2">
        <v>0</v>
      </c>
      <c r="J967" s="2">
        <v>1</v>
      </c>
      <c r="K967">
        <f t="shared" si="105"/>
        <v>13.811006773961173</v>
      </c>
      <c r="L967">
        <f t="shared" si="106"/>
        <v>37.358014774933686</v>
      </c>
      <c r="M967">
        <f t="shared" si="107"/>
        <v>5.9383304325349135E-11</v>
      </c>
      <c r="N967">
        <f t="shared" si="108"/>
        <v>0.99999999994061672</v>
      </c>
      <c r="O967">
        <f t="shared" si="109"/>
        <v>0.99999999994061672</v>
      </c>
      <c r="P967">
        <f t="shared" si="110"/>
        <v>-5.9383276076006173E-11</v>
      </c>
    </row>
    <row r="968" spans="1:16" x14ac:dyDescent="0.3">
      <c r="A968" s="2">
        <f t="shared" si="111"/>
        <v>964</v>
      </c>
      <c r="B968" s="2">
        <v>20</v>
      </c>
      <c r="C968" s="2">
        <v>0.6</v>
      </c>
      <c r="D968" s="2">
        <v>15</v>
      </c>
      <c r="E968" s="2">
        <v>1</v>
      </c>
      <c r="F968" s="2">
        <v>45</v>
      </c>
      <c r="G968" s="2">
        <v>0.8</v>
      </c>
      <c r="H968" s="2">
        <v>20</v>
      </c>
      <c r="I968" s="2">
        <v>1</v>
      </c>
      <c r="J968" s="2">
        <v>0</v>
      </c>
      <c r="K968">
        <f t="shared" si="105"/>
        <v>33.227524315876146</v>
      </c>
      <c r="L968">
        <f t="shared" si="106"/>
        <v>23.651284866254684</v>
      </c>
      <c r="M968">
        <f t="shared" si="107"/>
        <v>0.99993064753063088</v>
      </c>
      <c r="N968">
        <f t="shared" si="108"/>
        <v>6.9352469369135501E-5</v>
      </c>
      <c r="O968">
        <f t="shared" si="109"/>
        <v>0.99993064753063088</v>
      </c>
      <c r="P968">
        <f t="shared" si="110"/>
        <v>-6.935487436282093E-5</v>
      </c>
    </row>
    <row r="969" spans="1:16" x14ac:dyDescent="0.3">
      <c r="A969" s="2">
        <f t="shared" si="111"/>
        <v>965</v>
      </c>
      <c r="B969" s="2">
        <v>20</v>
      </c>
      <c r="C969" s="2">
        <v>0.6</v>
      </c>
      <c r="D969" s="2">
        <v>25</v>
      </c>
      <c r="E969" s="2">
        <v>1</v>
      </c>
      <c r="F969" s="2">
        <v>90</v>
      </c>
      <c r="G969" s="2">
        <v>0.9</v>
      </c>
      <c r="H969" s="2">
        <v>40</v>
      </c>
      <c r="I969" s="2">
        <v>1</v>
      </c>
      <c r="J969" s="2">
        <v>0</v>
      </c>
      <c r="K969">
        <f t="shared" si="105"/>
        <v>76.363014059866273</v>
      </c>
      <c r="L969">
        <f t="shared" si="106"/>
        <v>41.33395102409817</v>
      </c>
      <c r="M969">
        <f t="shared" si="107"/>
        <v>0.99999999999999944</v>
      </c>
      <c r="N969">
        <f t="shared" si="108"/>
        <v>6.1245081559471028E-16</v>
      </c>
      <c r="O969">
        <f t="shared" si="109"/>
        <v>0.99999999999999944</v>
      </c>
      <c r="P969">
        <f t="shared" si="110"/>
        <v>-5.5511151231257847E-16</v>
      </c>
    </row>
    <row r="970" spans="1:16" x14ac:dyDescent="0.3">
      <c r="A970" s="2">
        <f t="shared" si="111"/>
        <v>966</v>
      </c>
      <c r="B970" s="2">
        <v>25</v>
      </c>
      <c r="C970" s="2">
        <v>0.4</v>
      </c>
      <c r="D970" s="2">
        <v>20</v>
      </c>
      <c r="E970" s="2">
        <v>1</v>
      </c>
      <c r="F970" s="2">
        <v>45</v>
      </c>
      <c r="G970" s="2">
        <v>1</v>
      </c>
      <c r="H970" s="2">
        <v>20</v>
      </c>
      <c r="I970" s="2">
        <v>0</v>
      </c>
      <c r="J970" s="2">
        <v>1</v>
      </c>
      <c r="K970">
        <f t="shared" si="105"/>
        <v>30.396677050700724</v>
      </c>
      <c r="L970">
        <f t="shared" si="106"/>
        <v>37.358014774933686</v>
      </c>
      <c r="M970">
        <f t="shared" si="107"/>
        <v>9.4693026705622828E-4</v>
      </c>
      <c r="N970">
        <f t="shared" si="108"/>
        <v>0.99905306973294372</v>
      </c>
      <c r="O970">
        <f t="shared" si="109"/>
        <v>0.99905306973294372</v>
      </c>
      <c r="P970">
        <f t="shared" si="110"/>
        <v>-9.4737888875294702E-4</v>
      </c>
    </row>
    <row r="971" spans="1:16" x14ac:dyDescent="0.3">
      <c r="A971" s="2">
        <f t="shared" si="111"/>
        <v>967</v>
      </c>
      <c r="B971" s="2">
        <v>25</v>
      </c>
      <c r="C971" s="2">
        <v>0.6</v>
      </c>
      <c r="D971" s="2">
        <v>20</v>
      </c>
      <c r="E971" s="2">
        <v>1</v>
      </c>
      <c r="F971" s="2">
        <v>90</v>
      </c>
      <c r="G971" s="2">
        <v>0.8</v>
      </c>
      <c r="H971" s="2">
        <v>20</v>
      </c>
      <c r="I971" s="2">
        <v>1</v>
      </c>
      <c r="J971" s="2">
        <v>0</v>
      </c>
      <c r="K971">
        <f t="shared" si="105"/>
        <v>38.945402608624036</v>
      </c>
      <c r="L971">
        <f t="shared" si="106"/>
        <v>33.808462424561448</v>
      </c>
      <c r="M971">
        <f t="shared" si="107"/>
        <v>0.99415868087698489</v>
      </c>
      <c r="N971">
        <f t="shared" si="108"/>
        <v>5.8413191230150697E-3</v>
      </c>
      <c r="O971">
        <f t="shared" si="109"/>
        <v>0.99415868087698489</v>
      </c>
      <c r="P971">
        <f t="shared" si="110"/>
        <v>-5.8584463572254851E-3</v>
      </c>
    </row>
    <row r="972" spans="1:16" x14ac:dyDescent="0.3">
      <c r="A972" s="2">
        <f t="shared" si="111"/>
        <v>968</v>
      </c>
      <c r="B972" s="2">
        <v>25</v>
      </c>
      <c r="C972" s="2">
        <v>0.4</v>
      </c>
      <c r="D972" s="2">
        <v>20</v>
      </c>
      <c r="E972" s="2">
        <v>1</v>
      </c>
      <c r="F972" s="2">
        <v>90</v>
      </c>
      <c r="G972" s="2">
        <v>0.8</v>
      </c>
      <c r="H972" s="2">
        <v>20</v>
      </c>
      <c r="I972" s="2">
        <v>1</v>
      </c>
      <c r="J972" s="2">
        <v>0</v>
      </c>
      <c r="K972">
        <f t="shared" si="105"/>
        <v>38.945402608624036</v>
      </c>
      <c r="L972">
        <f t="shared" si="106"/>
        <v>37.358014774933686</v>
      </c>
      <c r="M972">
        <f t="shared" si="107"/>
        <v>0.83024827211267282</v>
      </c>
      <c r="N972">
        <f t="shared" si="108"/>
        <v>0.1697517278873272</v>
      </c>
      <c r="O972">
        <f t="shared" si="109"/>
        <v>0.83024827211267282</v>
      </c>
      <c r="P972">
        <f t="shared" si="110"/>
        <v>-0.18603049989255022</v>
      </c>
    </row>
    <row r="973" spans="1:16" x14ac:dyDescent="0.3">
      <c r="A973" s="2">
        <f t="shared" si="111"/>
        <v>969</v>
      </c>
      <c r="B973" s="2">
        <v>15</v>
      </c>
      <c r="C973" s="2">
        <v>0.8</v>
      </c>
      <c r="D973" s="2">
        <v>20</v>
      </c>
      <c r="E973" s="2">
        <v>1</v>
      </c>
      <c r="F973" s="2">
        <v>45</v>
      </c>
      <c r="G973" s="2">
        <v>0.8</v>
      </c>
      <c r="H973" s="2">
        <v>40</v>
      </c>
      <c r="I973" s="2">
        <v>1</v>
      </c>
      <c r="J973" s="2">
        <v>0</v>
      </c>
      <c r="K973">
        <f t="shared" si="105"/>
        <v>72.060559399706079</v>
      </c>
      <c r="L973">
        <f t="shared" si="106"/>
        <v>27.627221115419157</v>
      </c>
      <c r="M973">
        <f t="shared" si="107"/>
        <v>1</v>
      </c>
      <c r="N973">
        <f t="shared" si="108"/>
        <v>5.0448280783519838E-20</v>
      </c>
      <c r="O973">
        <f t="shared" si="109"/>
        <v>1</v>
      </c>
      <c r="P973">
        <f t="shared" si="110"/>
        <v>0</v>
      </c>
    </row>
    <row r="974" spans="1:16" x14ac:dyDescent="0.3">
      <c r="A974" s="2">
        <f t="shared" si="111"/>
        <v>970</v>
      </c>
      <c r="B974" s="2">
        <v>25</v>
      </c>
      <c r="C974" s="2">
        <v>0.4</v>
      </c>
      <c r="D974" s="2">
        <v>15</v>
      </c>
      <c r="E974" s="2">
        <v>1</v>
      </c>
      <c r="F974" s="2">
        <v>90</v>
      </c>
      <c r="G974" s="2">
        <v>0.9</v>
      </c>
      <c r="H974" s="2">
        <v>20</v>
      </c>
      <c r="I974" s="2">
        <v>1</v>
      </c>
      <c r="J974" s="2">
        <v>0</v>
      </c>
      <c r="K974">
        <f t="shared" si="105"/>
        <v>37.529978976036332</v>
      </c>
      <c r="L974">
        <f t="shared" si="106"/>
        <v>28.51668169601195</v>
      </c>
      <c r="M974">
        <f t="shared" si="107"/>
        <v>0.9998782351767973</v>
      </c>
      <c r="N974">
        <f t="shared" si="108"/>
        <v>1.2176482320264912E-4</v>
      </c>
      <c r="O974">
        <f t="shared" si="109"/>
        <v>0.9998782351767973</v>
      </c>
      <c r="P974">
        <f t="shared" si="110"/>
        <v>-1.2177223714062567E-4</v>
      </c>
    </row>
    <row r="975" spans="1:16" x14ac:dyDescent="0.3">
      <c r="A975" s="2">
        <f t="shared" si="111"/>
        <v>971</v>
      </c>
      <c r="B975" s="2">
        <v>15</v>
      </c>
      <c r="C975" s="2">
        <v>0.8</v>
      </c>
      <c r="D975" s="2">
        <v>25</v>
      </c>
      <c r="E975" s="2">
        <v>1</v>
      </c>
      <c r="F975" s="2">
        <v>60</v>
      </c>
      <c r="G975" s="2">
        <v>0.9</v>
      </c>
      <c r="H975" s="2">
        <v>20</v>
      </c>
      <c r="I975" s="2">
        <v>0</v>
      </c>
      <c r="J975" s="2">
        <v>1</v>
      </c>
      <c r="K975">
        <f t="shared" si="105"/>
        <v>33.718060114204398</v>
      </c>
      <c r="L975">
        <f t="shared" si="106"/>
        <v>36.468554194340904</v>
      </c>
      <c r="M975">
        <f t="shared" si="107"/>
        <v>6.0058752447550837E-2</v>
      </c>
      <c r="N975">
        <f t="shared" si="108"/>
        <v>0.93994124755244923</v>
      </c>
      <c r="O975">
        <f t="shared" si="109"/>
        <v>0.93994124755244923</v>
      </c>
      <c r="P975">
        <f t="shared" si="110"/>
        <v>-6.1937908275234016E-2</v>
      </c>
    </row>
    <row r="976" spans="1:16" x14ac:dyDescent="0.3">
      <c r="A976" s="2">
        <f t="shared" si="111"/>
        <v>972</v>
      </c>
      <c r="B976" s="2">
        <v>15</v>
      </c>
      <c r="C976" s="2">
        <v>0.4</v>
      </c>
      <c r="D976" s="2">
        <v>15</v>
      </c>
      <c r="E976" s="2">
        <v>1</v>
      </c>
      <c r="F976" s="2">
        <v>90</v>
      </c>
      <c r="G976" s="2">
        <v>0.9</v>
      </c>
      <c r="H976" s="2">
        <v>20</v>
      </c>
      <c r="I976" s="2">
        <v>1</v>
      </c>
      <c r="J976" s="2">
        <v>0</v>
      </c>
      <c r="K976">
        <f t="shared" si="105"/>
        <v>37.529978976036332</v>
      </c>
      <c r="L976">
        <f t="shared" si="106"/>
        <v>25.884992737241895</v>
      </c>
      <c r="M976">
        <f t="shared" si="107"/>
        <v>0.9999912371994063</v>
      </c>
      <c r="N976">
        <f t="shared" si="108"/>
        <v>8.7628005936941038E-6</v>
      </c>
      <c r="O976">
        <f t="shared" si="109"/>
        <v>0.9999912371994063</v>
      </c>
      <c r="P976">
        <f t="shared" si="110"/>
        <v>-8.7628389872593524E-6</v>
      </c>
    </row>
    <row r="977" spans="1:16" x14ac:dyDescent="0.3">
      <c r="A977" s="2">
        <f t="shared" si="111"/>
        <v>973</v>
      </c>
      <c r="B977" s="2">
        <v>20</v>
      </c>
      <c r="C977" s="2">
        <v>0.8</v>
      </c>
      <c r="D977" s="2">
        <v>20</v>
      </c>
      <c r="E977" s="2">
        <v>1</v>
      </c>
      <c r="F977" s="2">
        <v>45</v>
      </c>
      <c r="G977" s="2">
        <v>0.9</v>
      </c>
      <c r="H977" s="2">
        <v>40</v>
      </c>
      <c r="I977" s="2">
        <v>1</v>
      </c>
      <c r="J977" s="2">
        <v>0</v>
      </c>
      <c r="K977">
        <f t="shared" si="105"/>
        <v>70.645135767118376</v>
      </c>
      <c r="L977">
        <f t="shared" si="106"/>
        <v>28.943065594804185</v>
      </c>
      <c r="M977">
        <f t="shared" si="107"/>
        <v>1</v>
      </c>
      <c r="N977">
        <f t="shared" si="108"/>
        <v>7.7449931898542787E-19</v>
      </c>
      <c r="O977">
        <f t="shared" si="109"/>
        <v>1</v>
      </c>
      <c r="P977">
        <f t="shared" si="110"/>
        <v>0</v>
      </c>
    </row>
    <row r="978" spans="1:16" x14ac:dyDescent="0.3">
      <c r="A978" s="2">
        <f t="shared" si="111"/>
        <v>974</v>
      </c>
      <c r="B978" s="2">
        <v>25</v>
      </c>
      <c r="C978" s="2">
        <v>0.8</v>
      </c>
      <c r="D978" s="2">
        <v>25</v>
      </c>
      <c r="E978" s="2">
        <v>1</v>
      </c>
      <c r="F978" s="2">
        <v>60</v>
      </c>
      <c r="G978" s="2">
        <v>0.9</v>
      </c>
      <c r="H978" s="2">
        <v>40</v>
      </c>
      <c r="I978" s="2">
        <v>1</v>
      </c>
      <c r="J978" s="2">
        <v>0</v>
      </c>
      <c r="K978">
        <f t="shared" si="105"/>
        <v>72.551095198034346</v>
      </c>
      <c r="L978">
        <f t="shared" si="106"/>
        <v>39.100243153110959</v>
      </c>
      <c r="M978">
        <f t="shared" si="107"/>
        <v>0.99999999999999711</v>
      </c>
      <c r="N978">
        <f t="shared" si="108"/>
        <v>2.9681069231825802E-15</v>
      </c>
      <c r="O978">
        <f t="shared" si="109"/>
        <v>0.99999999999999711</v>
      </c>
      <c r="P978">
        <f t="shared" si="110"/>
        <v>-2.8865798640254113E-15</v>
      </c>
    </row>
    <row r="979" spans="1:16" x14ac:dyDescent="0.3">
      <c r="A979" s="2">
        <f t="shared" si="111"/>
        <v>975</v>
      </c>
      <c r="B979" s="2">
        <v>15</v>
      </c>
      <c r="C979" s="2">
        <v>0.6</v>
      </c>
      <c r="D979" s="2">
        <v>15</v>
      </c>
      <c r="E979" s="2">
        <v>1</v>
      </c>
      <c r="F979" s="2">
        <v>45</v>
      </c>
      <c r="G979" s="2">
        <v>1</v>
      </c>
      <c r="H979" s="2">
        <v>20</v>
      </c>
      <c r="I979" s="2">
        <v>1</v>
      </c>
      <c r="J979" s="2">
        <v>0</v>
      </c>
      <c r="K979">
        <f t="shared" si="105"/>
        <v>30.396677050700724</v>
      </c>
      <c r="L979">
        <f t="shared" si="106"/>
        <v>22.335440386869656</v>
      </c>
      <c r="M979">
        <f t="shared" si="107"/>
        <v>0.99968456318025534</v>
      </c>
      <c r="N979">
        <f t="shared" si="108"/>
        <v>3.1543681974472554E-4</v>
      </c>
      <c r="O979">
        <f t="shared" si="109"/>
        <v>0.99968456318025534</v>
      </c>
      <c r="P979">
        <f t="shared" si="110"/>
        <v>-3.1548658040279291E-4</v>
      </c>
    </row>
    <row r="980" spans="1:16" x14ac:dyDescent="0.3">
      <c r="A980" s="2">
        <f t="shared" si="111"/>
        <v>976</v>
      </c>
      <c r="B980" s="2">
        <v>25</v>
      </c>
      <c r="C980" s="2">
        <v>0.4</v>
      </c>
      <c r="D980" s="2">
        <v>20</v>
      </c>
      <c r="E980" s="2">
        <v>1</v>
      </c>
      <c r="F980" s="2">
        <v>60</v>
      </c>
      <c r="G980" s="2">
        <v>1</v>
      </c>
      <c r="H980" s="2">
        <v>40</v>
      </c>
      <c r="I980" s="2">
        <v>1</v>
      </c>
      <c r="J980" s="2">
        <v>0</v>
      </c>
      <c r="K980">
        <f t="shared" si="105"/>
        <v>71.135671565446629</v>
      </c>
      <c r="L980">
        <f t="shared" si="106"/>
        <v>37.358014774933686</v>
      </c>
      <c r="M980">
        <f t="shared" si="107"/>
        <v>0.99999999999999789</v>
      </c>
      <c r="N980">
        <f t="shared" si="108"/>
        <v>2.1406715846367649E-15</v>
      </c>
      <c r="O980">
        <f t="shared" si="109"/>
        <v>0.99999999999999789</v>
      </c>
      <c r="P980">
        <f t="shared" si="110"/>
        <v>-2.1094237467877998E-15</v>
      </c>
    </row>
    <row r="981" spans="1:16" x14ac:dyDescent="0.3">
      <c r="A981" s="2">
        <f t="shared" si="111"/>
        <v>977</v>
      </c>
      <c r="B981" s="2">
        <v>25</v>
      </c>
      <c r="C981" s="2">
        <v>0.6</v>
      </c>
      <c r="D981" s="2">
        <v>20</v>
      </c>
      <c r="E981" s="2">
        <v>1</v>
      </c>
      <c r="F981" s="2">
        <v>45</v>
      </c>
      <c r="G981" s="2">
        <v>1</v>
      </c>
      <c r="H981" s="2">
        <v>10</v>
      </c>
      <c r="I981" s="2">
        <v>0</v>
      </c>
      <c r="J981" s="2">
        <v>1</v>
      </c>
      <c r="K981">
        <f t="shared" si="105"/>
        <v>10.980159508785752</v>
      </c>
      <c r="L981">
        <f t="shared" si="106"/>
        <v>33.808462424561448</v>
      </c>
      <c r="M981">
        <f t="shared" si="107"/>
        <v>1.2184115644303784E-10</v>
      </c>
      <c r="N981">
        <f t="shared" si="108"/>
        <v>0.9999999998781588</v>
      </c>
      <c r="O981">
        <f t="shared" si="109"/>
        <v>0.9999999998781588</v>
      </c>
      <c r="P981">
        <f t="shared" si="110"/>
        <v>-1.2184120380030551E-10</v>
      </c>
    </row>
    <row r="982" spans="1:16" x14ac:dyDescent="0.3">
      <c r="A982" s="2">
        <f t="shared" si="111"/>
        <v>978</v>
      </c>
      <c r="B982" s="2">
        <v>15</v>
      </c>
      <c r="C982" s="2">
        <v>0.6</v>
      </c>
      <c r="D982" s="2">
        <v>15</v>
      </c>
      <c r="E982" s="2">
        <v>1</v>
      </c>
      <c r="F982" s="2">
        <v>90</v>
      </c>
      <c r="G982" s="2">
        <v>0.8</v>
      </c>
      <c r="H982" s="2">
        <v>40</v>
      </c>
      <c r="I982" s="2">
        <v>1</v>
      </c>
      <c r="J982" s="2">
        <v>0</v>
      </c>
      <c r="K982">
        <f t="shared" si="105"/>
        <v>77.778437692453977</v>
      </c>
      <c r="L982">
        <f t="shared" si="106"/>
        <v>22.335440386869656</v>
      </c>
      <c r="M982">
        <f t="shared" si="107"/>
        <v>1</v>
      </c>
      <c r="N982">
        <f t="shared" si="108"/>
        <v>8.3447284760844041E-25</v>
      </c>
      <c r="O982">
        <f t="shared" si="109"/>
        <v>1</v>
      </c>
      <c r="P982">
        <f t="shared" si="110"/>
        <v>0</v>
      </c>
    </row>
    <row r="983" spans="1:16" x14ac:dyDescent="0.3">
      <c r="A983" s="2">
        <f t="shared" si="111"/>
        <v>979</v>
      </c>
      <c r="B983" s="2">
        <v>20</v>
      </c>
      <c r="C983" s="2">
        <v>0.4</v>
      </c>
      <c r="D983" s="2">
        <v>20</v>
      </c>
      <c r="E983" s="2">
        <v>1</v>
      </c>
      <c r="F983" s="2">
        <v>90</v>
      </c>
      <c r="G983" s="2">
        <v>1</v>
      </c>
      <c r="H983" s="2">
        <v>10</v>
      </c>
      <c r="I983" s="2">
        <v>0</v>
      </c>
      <c r="J983" s="2">
        <v>1</v>
      </c>
      <c r="K983">
        <f t="shared" si="105"/>
        <v>16.698037801533648</v>
      </c>
      <c r="L983">
        <f t="shared" si="106"/>
        <v>36.042170295548658</v>
      </c>
      <c r="M983">
        <f t="shared" si="107"/>
        <v>3.9714582274619936E-9</v>
      </c>
      <c r="N983">
        <f t="shared" si="108"/>
        <v>0.99999999602854184</v>
      </c>
      <c r="O983">
        <f t="shared" si="109"/>
        <v>0.99999999602854184</v>
      </c>
      <c r="P983">
        <f t="shared" si="110"/>
        <v>-3.971458170219148E-9</v>
      </c>
    </row>
    <row r="984" spans="1:16" x14ac:dyDescent="0.3">
      <c r="A984" s="2">
        <f t="shared" si="111"/>
        <v>980</v>
      </c>
      <c r="B984" s="2">
        <v>20</v>
      </c>
      <c r="C984" s="2">
        <v>0.4</v>
      </c>
      <c r="D984" s="2">
        <v>20</v>
      </c>
      <c r="E984" s="2">
        <v>1</v>
      </c>
      <c r="F984" s="2">
        <v>60</v>
      </c>
      <c r="G984" s="2">
        <v>0.8</v>
      </c>
      <c r="H984" s="2">
        <v>20</v>
      </c>
      <c r="I984" s="2">
        <v>1</v>
      </c>
      <c r="J984" s="2">
        <v>0</v>
      </c>
      <c r="K984">
        <f t="shared" si="105"/>
        <v>35.133483746792109</v>
      </c>
      <c r="L984">
        <f t="shared" si="106"/>
        <v>36.042170295548658</v>
      </c>
      <c r="M984">
        <f t="shared" si="107"/>
        <v>0.28726868517373011</v>
      </c>
      <c r="N984">
        <f t="shared" si="108"/>
        <v>0.71273131482626984</v>
      </c>
      <c r="O984">
        <f t="shared" si="109"/>
        <v>0.28726868517373011</v>
      </c>
      <c r="P984">
        <f t="shared" si="110"/>
        <v>-1.2473373158963166</v>
      </c>
    </row>
    <row r="985" spans="1:16" x14ac:dyDescent="0.3">
      <c r="A985" s="2">
        <f t="shared" si="111"/>
        <v>981</v>
      </c>
      <c r="B985" s="2">
        <v>15</v>
      </c>
      <c r="C985" s="2">
        <v>0.8</v>
      </c>
      <c r="D985" s="2">
        <v>15</v>
      </c>
      <c r="E985" s="2">
        <v>1</v>
      </c>
      <c r="F985" s="2">
        <v>45</v>
      </c>
      <c r="G985" s="2">
        <v>1</v>
      </c>
      <c r="H985" s="2">
        <v>40</v>
      </c>
      <c r="I985" s="2">
        <v>1</v>
      </c>
      <c r="J985" s="2">
        <v>0</v>
      </c>
      <c r="K985">
        <f t="shared" si="105"/>
        <v>69.229712134530658</v>
      </c>
      <c r="L985">
        <f t="shared" si="106"/>
        <v>18.785888036497418</v>
      </c>
      <c r="M985">
        <f t="shared" si="107"/>
        <v>1</v>
      </c>
      <c r="N985">
        <f t="shared" si="108"/>
        <v>1.2374439825820306E-22</v>
      </c>
      <c r="O985">
        <f t="shared" si="109"/>
        <v>1</v>
      </c>
      <c r="P985">
        <f t="shared" si="110"/>
        <v>0</v>
      </c>
    </row>
    <row r="986" spans="1:16" x14ac:dyDescent="0.3">
      <c r="A986" s="2">
        <f t="shared" si="111"/>
        <v>982</v>
      </c>
      <c r="B986" s="2">
        <v>15</v>
      </c>
      <c r="C986" s="2">
        <v>0.6</v>
      </c>
      <c r="D986" s="2">
        <v>25</v>
      </c>
      <c r="E986" s="2">
        <v>1</v>
      </c>
      <c r="F986" s="2">
        <v>90</v>
      </c>
      <c r="G986" s="2">
        <v>1</v>
      </c>
      <c r="H986" s="2">
        <v>20</v>
      </c>
      <c r="I986" s="2">
        <v>0</v>
      </c>
      <c r="J986" s="2">
        <v>1</v>
      </c>
      <c r="K986">
        <f t="shared" si="105"/>
        <v>36.114555343448615</v>
      </c>
      <c r="L986">
        <f t="shared" si="106"/>
        <v>40.018106544713142</v>
      </c>
      <c r="M986">
        <f t="shared" si="107"/>
        <v>1.9771364329530736E-2</v>
      </c>
      <c r="N986">
        <f t="shared" si="108"/>
        <v>0.98022863567046925</v>
      </c>
      <c r="O986">
        <f t="shared" si="109"/>
        <v>0.98022863567046925</v>
      </c>
      <c r="P986">
        <f t="shared" si="110"/>
        <v>-1.9969432823569559E-2</v>
      </c>
    </row>
    <row r="987" spans="1:16" x14ac:dyDescent="0.3">
      <c r="A987" s="2">
        <f t="shared" si="111"/>
        <v>983</v>
      </c>
      <c r="B987" s="2">
        <v>25</v>
      </c>
      <c r="C987" s="2">
        <v>0.4</v>
      </c>
      <c r="D987" s="2">
        <v>25</v>
      </c>
      <c r="E987" s="2">
        <v>1</v>
      </c>
      <c r="F987" s="2">
        <v>45</v>
      </c>
      <c r="G987" s="2">
        <v>0.9</v>
      </c>
      <c r="H987" s="2">
        <v>20</v>
      </c>
      <c r="I987" s="2">
        <v>0</v>
      </c>
      <c r="J987" s="2">
        <v>1</v>
      </c>
      <c r="K987">
        <f t="shared" si="105"/>
        <v>31.812100683288435</v>
      </c>
      <c r="L987">
        <f t="shared" si="106"/>
        <v>46.199347853855429</v>
      </c>
      <c r="M987">
        <f t="shared" si="107"/>
        <v>5.6454387365454912E-7</v>
      </c>
      <c r="N987">
        <f t="shared" si="108"/>
        <v>0.99999943545612635</v>
      </c>
      <c r="O987">
        <f t="shared" si="109"/>
        <v>0.99999943545612635</v>
      </c>
      <c r="P987">
        <f t="shared" si="110"/>
        <v>-5.6454403300396752E-7</v>
      </c>
    </row>
    <row r="988" spans="1:16" x14ac:dyDescent="0.3">
      <c r="A988" s="2">
        <f t="shared" si="111"/>
        <v>984</v>
      </c>
      <c r="B988" s="2">
        <v>20</v>
      </c>
      <c r="C988" s="2">
        <v>0.4</v>
      </c>
      <c r="D988" s="2">
        <v>25</v>
      </c>
      <c r="E988" s="2">
        <v>1</v>
      </c>
      <c r="F988" s="2">
        <v>60</v>
      </c>
      <c r="G988" s="2">
        <v>1</v>
      </c>
      <c r="H988" s="2">
        <v>40</v>
      </c>
      <c r="I988" s="2">
        <v>1</v>
      </c>
      <c r="J988" s="2">
        <v>0</v>
      </c>
      <c r="K988">
        <f t="shared" si="105"/>
        <v>71.135671565446629</v>
      </c>
      <c r="L988">
        <f t="shared" si="106"/>
        <v>44.883503374470401</v>
      </c>
      <c r="M988">
        <f t="shared" si="107"/>
        <v>0.99999999999602962</v>
      </c>
      <c r="N988">
        <f t="shared" si="108"/>
        <v>3.9703447310558512E-12</v>
      </c>
      <c r="O988">
        <f t="shared" si="109"/>
        <v>0.99999999999602962</v>
      </c>
      <c r="P988">
        <f t="shared" si="110"/>
        <v>-3.9703795806723665E-12</v>
      </c>
    </row>
    <row r="989" spans="1:16" x14ac:dyDescent="0.3">
      <c r="A989" s="2">
        <f t="shared" si="111"/>
        <v>985</v>
      </c>
      <c r="B989" s="2">
        <v>15</v>
      </c>
      <c r="C989" s="2">
        <v>0.4</v>
      </c>
      <c r="D989" s="2">
        <v>20</v>
      </c>
      <c r="E989" s="2">
        <v>1</v>
      </c>
      <c r="F989" s="2">
        <v>90</v>
      </c>
      <c r="G989" s="2">
        <v>1</v>
      </c>
      <c r="H989" s="2">
        <v>40</v>
      </c>
      <c r="I989" s="2">
        <v>1</v>
      </c>
      <c r="J989" s="2">
        <v>0</v>
      </c>
      <c r="K989">
        <f t="shared" si="105"/>
        <v>74.947590427278556</v>
      </c>
      <c r="L989">
        <f t="shared" si="106"/>
        <v>34.72632581616363</v>
      </c>
      <c r="M989">
        <f t="shared" si="107"/>
        <v>1</v>
      </c>
      <c r="N989">
        <f t="shared" si="108"/>
        <v>3.4050753302489832E-18</v>
      </c>
      <c r="O989">
        <f t="shared" si="109"/>
        <v>1</v>
      </c>
      <c r="P989">
        <f t="shared" si="110"/>
        <v>0</v>
      </c>
    </row>
    <row r="990" spans="1:16" x14ac:dyDescent="0.3">
      <c r="A990" s="2">
        <f t="shared" si="111"/>
        <v>986</v>
      </c>
      <c r="B990" s="2">
        <v>25</v>
      </c>
      <c r="C990" s="2">
        <v>0.8</v>
      </c>
      <c r="D990" s="2">
        <v>20</v>
      </c>
      <c r="E990" s="2">
        <v>1</v>
      </c>
      <c r="F990" s="2">
        <v>45</v>
      </c>
      <c r="G990" s="2">
        <v>0.9</v>
      </c>
      <c r="H990" s="2">
        <v>40</v>
      </c>
      <c r="I990" s="2">
        <v>1</v>
      </c>
      <c r="J990" s="2">
        <v>0</v>
      </c>
      <c r="K990">
        <f t="shared" si="105"/>
        <v>70.645135767118376</v>
      </c>
      <c r="L990">
        <f t="shared" si="106"/>
        <v>30.258910074189213</v>
      </c>
      <c r="M990">
        <f t="shared" si="107"/>
        <v>1</v>
      </c>
      <c r="N990">
        <f t="shared" si="108"/>
        <v>2.8872542989758204E-18</v>
      </c>
      <c r="O990">
        <f t="shared" si="109"/>
        <v>1</v>
      </c>
      <c r="P990">
        <f t="shared" si="110"/>
        <v>0</v>
      </c>
    </row>
    <row r="991" spans="1:16" x14ac:dyDescent="0.3">
      <c r="A991" s="2">
        <f t="shared" si="111"/>
        <v>987</v>
      </c>
      <c r="B991" s="2">
        <v>25</v>
      </c>
      <c r="C991" s="2">
        <v>0.6</v>
      </c>
      <c r="D991" s="2">
        <v>15</v>
      </c>
      <c r="E991" s="2">
        <v>1</v>
      </c>
      <c r="F991" s="2">
        <v>45</v>
      </c>
      <c r="G991" s="2">
        <v>0.9</v>
      </c>
      <c r="H991" s="2">
        <v>40</v>
      </c>
      <c r="I991" s="2">
        <v>1</v>
      </c>
      <c r="J991" s="2">
        <v>0</v>
      </c>
      <c r="K991">
        <f t="shared" si="105"/>
        <v>70.645135767118376</v>
      </c>
      <c r="L991">
        <f t="shared" si="106"/>
        <v>24.967129345639712</v>
      </c>
      <c r="M991">
        <f t="shared" si="107"/>
        <v>1</v>
      </c>
      <c r="N991">
        <f t="shared" si="108"/>
        <v>1.4530945262665075E-20</v>
      </c>
      <c r="O991">
        <f t="shared" si="109"/>
        <v>1</v>
      </c>
      <c r="P991">
        <f t="shared" si="110"/>
        <v>0</v>
      </c>
    </row>
    <row r="992" spans="1:16" x14ac:dyDescent="0.3">
      <c r="A992" s="2">
        <f t="shared" si="111"/>
        <v>988</v>
      </c>
      <c r="B992" s="2">
        <v>20</v>
      </c>
      <c r="C992" s="2">
        <v>0.4</v>
      </c>
      <c r="D992" s="2">
        <v>20</v>
      </c>
      <c r="E992" s="2">
        <v>1</v>
      </c>
      <c r="F992" s="2">
        <v>45</v>
      </c>
      <c r="G992" s="2">
        <v>0.8</v>
      </c>
      <c r="H992" s="2">
        <v>20</v>
      </c>
      <c r="I992" s="2">
        <v>0</v>
      </c>
      <c r="J992" s="2">
        <v>1</v>
      </c>
      <c r="K992">
        <f t="shared" si="105"/>
        <v>33.227524315876146</v>
      </c>
      <c r="L992">
        <f t="shared" si="106"/>
        <v>36.042170295548658</v>
      </c>
      <c r="M992">
        <f t="shared" si="107"/>
        <v>5.6537846926363926E-2</v>
      </c>
      <c r="N992">
        <f t="shared" si="108"/>
        <v>0.94346215307363601</v>
      </c>
      <c r="O992">
        <f t="shared" si="109"/>
        <v>0.94346215307363601</v>
      </c>
      <c r="P992">
        <f t="shared" si="110"/>
        <v>-5.8199028307572849E-2</v>
      </c>
    </row>
    <row r="993" spans="1:16" x14ac:dyDescent="0.3">
      <c r="A993" s="2">
        <f t="shared" si="111"/>
        <v>989</v>
      </c>
      <c r="B993" s="2">
        <v>25</v>
      </c>
      <c r="C993" s="2">
        <v>0.8</v>
      </c>
      <c r="D993" s="2">
        <v>15</v>
      </c>
      <c r="E993" s="2">
        <v>1</v>
      </c>
      <c r="F993" s="2">
        <v>45</v>
      </c>
      <c r="G993" s="2">
        <v>1</v>
      </c>
      <c r="H993" s="2">
        <v>10</v>
      </c>
      <c r="I993" s="2">
        <v>0</v>
      </c>
      <c r="J993" s="2">
        <v>1</v>
      </c>
      <c r="K993">
        <f t="shared" si="105"/>
        <v>10.980159508785752</v>
      </c>
      <c r="L993">
        <f t="shared" si="106"/>
        <v>21.417576995267474</v>
      </c>
      <c r="M993">
        <f t="shared" si="107"/>
        <v>2.931395718665853E-5</v>
      </c>
      <c r="N993">
        <f t="shared" si="108"/>
        <v>0.99997068604281336</v>
      </c>
      <c r="O993">
        <f t="shared" si="109"/>
        <v>0.99997068604281336</v>
      </c>
      <c r="P993">
        <f t="shared" si="110"/>
        <v>-2.9314386849078268E-5</v>
      </c>
    </row>
    <row r="994" spans="1:16" x14ac:dyDescent="0.3">
      <c r="A994" s="2">
        <f t="shared" si="111"/>
        <v>990</v>
      </c>
      <c r="B994" s="2">
        <v>25</v>
      </c>
      <c r="C994" s="2">
        <v>0.6</v>
      </c>
      <c r="D994" s="2">
        <v>25</v>
      </c>
      <c r="E994" s="2">
        <v>1</v>
      </c>
      <c r="F994" s="2">
        <v>45</v>
      </c>
      <c r="G994" s="2">
        <v>0.9</v>
      </c>
      <c r="H994" s="2">
        <v>20</v>
      </c>
      <c r="I994" s="2">
        <v>0</v>
      </c>
      <c r="J994" s="2">
        <v>1</v>
      </c>
      <c r="K994">
        <f t="shared" si="105"/>
        <v>31.812100683288435</v>
      </c>
      <c r="L994">
        <f t="shared" si="106"/>
        <v>42.649795503483197</v>
      </c>
      <c r="M994">
        <f t="shared" si="107"/>
        <v>1.9644474308637647E-5</v>
      </c>
      <c r="N994">
        <f t="shared" si="108"/>
        <v>0.99998035552569131</v>
      </c>
      <c r="O994">
        <f t="shared" si="109"/>
        <v>0.99998035552569131</v>
      </c>
      <c r="P994">
        <f t="shared" si="110"/>
        <v>-1.9644667263901204E-5</v>
      </c>
    </row>
    <row r="995" spans="1:16" x14ac:dyDescent="0.3">
      <c r="A995" s="2">
        <f t="shared" si="111"/>
        <v>991</v>
      </c>
      <c r="B995" s="2">
        <v>25</v>
      </c>
      <c r="C995" s="2">
        <v>0.4</v>
      </c>
      <c r="D995" s="2">
        <v>25</v>
      </c>
      <c r="E995" s="2">
        <v>1</v>
      </c>
      <c r="F995" s="2">
        <v>60</v>
      </c>
      <c r="G995" s="2">
        <v>0.9</v>
      </c>
      <c r="H995" s="2">
        <v>40</v>
      </c>
      <c r="I995" s="2">
        <v>1</v>
      </c>
      <c r="J995" s="2">
        <v>0</v>
      </c>
      <c r="K995">
        <f t="shared" si="105"/>
        <v>72.551095198034346</v>
      </c>
      <c r="L995">
        <f t="shared" si="106"/>
        <v>46.199347853855429</v>
      </c>
      <c r="M995">
        <f t="shared" si="107"/>
        <v>0.99999999999640599</v>
      </c>
      <c r="N995">
        <f t="shared" si="108"/>
        <v>3.5940286923990319E-12</v>
      </c>
      <c r="O995">
        <f t="shared" si="109"/>
        <v>0.99999999999640599</v>
      </c>
      <c r="P995">
        <f t="shared" si="110"/>
        <v>-3.5940139753230151E-12</v>
      </c>
    </row>
    <row r="996" spans="1:16" x14ac:dyDescent="0.3">
      <c r="A996" s="2">
        <f t="shared" si="111"/>
        <v>992</v>
      </c>
      <c r="B996" s="2">
        <v>25</v>
      </c>
      <c r="C996" s="2">
        <v>0.8</v>
      </c>
      <c r="D996" s="2">
        <v>15</v>
      </c>
      <c r="E996" s="2">
        <v>1</v>
      </c>
      <c r="F996" s="2">
        <v>90</v>
      </c>
      <c r="G996" s="2">
        <v>1</v>
      </c>
      <c r="H996" s="2">
        <v>20</v>
      </c>
      <c r="I996" s="2">
        <v>1</v>
      </c>
      <c r="J996" s="2">
        <v>0</v>
      </c>
      <c r="K996">
        <f t="shared" si="105"/>
        <v>36.114555343448615</v>
      </c>
      <c r="L996">
        <f t="shared" si="106"/>
        <v>21.417576995267474</v>
      </c>
      <c r="M996">
        <f t="shared" si="107"/>
        <v>0.99999958582562753</v>
      </c>
      <c r="N996">
        <f t="shared" si="108"/>
        <v>4.141743724285211E-7</v>
      </c>
      <c r="O996">
        <f t="shared" si="109"/>
        <v>0.99999958582562753</v>
      </c>
      <c r="P996">
        <f t="shared" si="110"/>
        <v>-4.1417445823527725E-7</v>
      </c>
    </row>
    <row r="997" spans="1:16" x14ac:dyDescent="0.3">
      <c r="A997" s="2">
        <f t="shared" si="111"/>
        <v>993</v>
      </c>
      <c r="B997" s="2">
        <v>20</v>
      </c>
      <c r="C997" s="2">
        <v>0.4</v>
      </c>
      <c r="D997" s="2">
        <v>25</v>
      </c>
      <c r="E997" s="2">
        <v>1</v>
      </c>
      <c r="F997" s="2">
        <v>60</v>
      </c>
      <c r="G997" s="2">
        <v>1</v>
      </c>
      <c r="H997" s="2">
        <v>40</v>
      </c>
      <c r="I997" s="2">
        <v>1</v>
      </c>
      <c r="J997" s="2">
        <v>0</v>
      </c>
      <c r="K997">
        <f t="shared" si="105"/>
        <v>71.135671565446629</v>
      </c>
      <c r="L997">
        <f t="shared" si="106"/>
        <v>44.883503374470401</v>
      </c>
      <c r="M997">
        <f t="shared" si="107"/>
        <v>0.99999999999602962</v>
      </c>
      <c r="N997">
        <f t="shared" si="108"/>
        <v>3.9703447310558512E-12</v>
      </c>
      <c r="O997">
        <f t="shared" si="109"/>
        <v>0.99999999999602962</v>
      </c>
      <c r="P997">
        <f t="shared" si="110"/>
        <v>-3.9703795806723665E-12</v>
      </c>
    </row>
    <row r="998" spans="1:16" x14ac:dyDescent="0.3">
      <c r="A998" s="2">
        <f t="shared" si="111"/>
        <v>994</v>
      </c>
      <c r="B998" s="2">
        <v>15</v>
      </c>
      <c r="C998" s="2">
        <v>0.6</v>
      </c>
      <c r="D998" s="2">
        <v>25</v>
      </c>
      <c r="E998" s="2">
        <v>1</v>
      </c>
      <c r="F998" s="2">
        <v>90</v>
      </c>
      <c r="G998" s="2">
        <v>0.9</v>
      </c>
      <c r="H998" s="2">
        <v>10</v>
      </c>
      <c r="I998" s="2">
        <v>0</v>
      </c>
      <c r="J998" s="2">
        <v>1</v>
      </c>
      <c r="K998">
        <f t="shared" si="105"/>
        <v>18.113461434121358</v>
      </c>
      <c r="L998">
        <f t="shared" si="106"/>
        <v>40.018106544713142</v>
      </c>
      <c r="M998">
        <f t="shared" si="107"/>
        <v>3.0685520918959148E-10</v>
      </c>
      <c r="N998">
        <f t="shared" si="108"/>
        <v>0.99999999969314479</v>
      </c>
      <c r="O998">
        <f t="shared" si="109"/>
        <v>0.99999999969314479</v>
      </c>
      <c r="P998">
        <f t="shared" si="110"/>
        <v>-3.0685520795704186E-10</v>
      </c>
    </row>
    <row r="999" spans="1:16" x14ac:dyDescent="0.3">
      <c r="A999" s="2">
        <f t="shared" si="111"/>
        <v>995</v>
      </c>
      <c r="B999" s="2">
        <v>15</v>
      </c>
      <c r="C999" s="2">
        <v>0.8</v>
      </c>
      <c r="D999" s="2">
        <v>25</v>
      </c>
      <c r="E999" s="2">
        <v>1</v>
      </c>
      <c r="F999" s="2">
        <v>60</v>
      </c>
      <c r="G999" s="2">
        <v>0.8</v>
      </c>
      <c r="H999" s="2">
        <v>20</v>
      </c>
      <c r="I999" s="2">
        <v>1</v>
      </c>
      <c r="J999" s="2">
        <v>0</v>
      </c>
      <c r="K999">
        <f t="shared" si="105"/>
        <v>35.133483746792109</v>
      </c>
      <c r="L999">
        <f t="shared" si="106"/>
        <v>36.468554194340904</v>
      </c>
      <c r="M999">
        <f t="shared" si="107"/>
        <v>0.20832189054829223</v>
      </c>
      <c r="N999">
        <f t="shared" si="108"/>
        <v>0.7916781094517078</v>
      </c>
      <c r="O999">
        <f t="shared" si="109"/>
        <v>0.20832189054829223</v>
      </c>
      <c r="P999">
        <f t="shared" si="110"/>
        <v>-1.5686708447904958</v>
      </c>
    </row>
    <row r="1000" spans="1:16" x14ac:dyDescent="0.3">
      <c r="A1000" s="2">
        <f t="shared" si="111"/>
        <v>996</v>
      </c>
      <c r="B1000" s="2">
        <v>15</v>
      </c>
      <c r="C1000" s="2">
        <v>0.6</v>
      </c>
      <c r="D1000" s="2">
        <v>15</v>
      </c>
      <c r="E1000" s="2">
        <v>1</v>
      </c>
      <c r="F1000" s="2">
        <v>45</v>
      </c>
      <c r="G1000" s="2">
        <v>0.9</v>
      </c>
      <c r="H1000" s="2">
        <v>40</v>
      </c>
      <c r="I1000" s="2">
        <v>1</v>
      </c>
      <c r="J1000" s="2">
        <v>0</v>
      </c>
      <c r="K1000">
        <f t="shared" si="105"/>
        <v>70.645135767118376</v>
      </c>
      <c r="L1000">
        <f t="shared" si="106"/>
        <v>22.335440386869656</v>
      </c>
      <c r="M1000">
        <f t="shared" si="107"/>
        <v>1</v>
      </c>
      <c r="N1000">
        <f t="shared" si="108"/>
        <v>1.0456007207306188E-21</v>
      </c>
      <c r="O1000">
        <f t="shared" si="109"/>
        <v>1</v>
      </c>
      <c r="P1000">
        <f t="shared" si="110"/>
        <v>0</v>
      </c>
    </row>
    <row r="1001" spans="1:16" x14ac:dyDescent="0.3">
      <c r="A1001" s="2">
        <f t="shared" si="111"/>
        <v>997</v>
      </c>
      <c r="B1001" s="2">
        <v>20</v>
      </c>
      <c r="C1001" s="2">
        <v>0.8</v>
      </c>
      <c r="D1001" s="2">
        <v>25</v>
      </c>
      <c r="E1001" s="2">
        <v>1</v>
      </c>
      <c r="F1001" s="2">
        <v>90</v>
      </c>
      <c r="G1001" s="2">
        <v>0.8</v>
      </c>
      <c r="H1001" s="2">
        <v>20</v>
      </c>
      <c r="I1001" s="2">
        <v>1</v>
      </c>
      <c r="J1001" s="2">
        <v>0</v>
      </c>
      <c r="K1001">
        <f t="shared" si="105"/>
        <v>38.945402608624036</v>
      </c>
      <c r="L1001">
        <f t="shared" si="106"/>
        <v>37.784398673725924</v>
      </c>
      <c r="M1001">
        <f t="shared" si="107"/>
        <v>0.76151508718384631</v>
      </c>
      <c r="N1001">
        <f t="shared" si="108"/>
        <v>0.23848491281615372</v>
      </c>
      <c r="O1001">
        <f t="shared" si="109"/>
        <v>0.76151508718384631</v>
      </c>
      <c r="P1001">
        <f t="shared" si="110"/>
        <v>-0.2724452943890201</v>
      </c>
    </row>
    <row r="1002" spans="1:16" x14ac:dyDescent="0.3">
      <c r="A1002" s="2">
        <f t="shared" si="111"/>
        <v>998</v>
      </c>
      <c r="B1002" s="2">
        <v>20</v>
      </c>
      <c r="C1002" s="2">
        <v>0.8</v>
      </c>
      <c r="D1002" s="2">
        <v>20</v>
      </c>
      <c r="E1002" s="2">
        <v>1</v>
      </c>
      <c r="F1002" s="2">
        <v>45</v>
      </c>
      <c r="G1002" s="2">
        <v>0.9</v>
      </c>
      <c r="H1002" s="2">
        <v>40</v>
      </c>
      <c r="I1002" s="2">
        <v>1</v>
      </c>
      <c r="J1002" s="2">
        <v>0</v>
      </c>
      <c r="K1002">
        <f t="shared" si="105"/>
        <v>70.645135767118376</v>
      </c>
      <c r="L1002">
        <f t="shared" si="106"/>
        <v>28.943065594804185</v>
      </c>
      <c r="M1002">
        <f t="shared" si="107"/>
        <v>1</v>
      </c>
      <c r="N1002">
        <f t="shared" si="108"/>
        <v>7.7449931898542787E-19</v>
      </c>
      <c r="O1002">
        <f t="shared" si="109"/>
        <v>1</v>
      </c>
      <c r="P1002">
        <f t="shared" si="110"/>
        <v>0</v>
      </c>
    </row>
    <row r="1003" spans="1:16" x14ac:dyDescent="0.3">
      <c r="A1003" s="2">
        <f t="shared" si="111"/>
        <v>999</v>
      </c>
      <c r="B1003" s="2">
        <v>25</v>
      </c>
      <c r="C1003" s="2">
        <v>0.4</v>
      </c>
      <c r="D1003" s="2">
        <v>20</v>
      </c>
      <c r="E1003" s="2">
        <v>1</v>
      </c>
      <c r="F1003" s="2">
        <v>45</v>
      </c>
      <c r="G1003" s="2">
        <v>0.8</v>
      </c>
      <c r="H1003" s="2">
        <v>10</v>
      </c>
      <c r="I1003" s="2">
        <v>0</v>
      </c>
      <c r="J1003" s="2">
        <v>1</v>
      </c>
      <c r="K1003">
        <f t="shared" si="105"/>
        <v>13.811006773961173</v>
      </c>
      <c r="L1003">
        <f t="shared" si="106"/>
        <v>37.358014774933686</v>
      </c>
      <c r="M1003">
        <f t="shared" si="107"/>
        <v>5.9383304325349135E-11</v>
      </c>
      <c r="N1003">
        <f t="shared" si="108"/>
        <v>0.99999999994061672</v>
      </c>
      <c r="O1003">
        <f t="shared" si="109"/>
        <v>0.99999999994061672</v>
      </c>
      <c r="P1003">
        <f t="shared" si="110"/>
        <v>-5.9383276076006173E-11</v>
      </c>
    </row>
    <row r="1004" spans="1:16" x14ac:dyDescent="0.3">
      <c r="A1004" s="2">
        <f t="shared" si="111"/>
        <v>1000</v>
      </c>
      <c r="B1004" s="2">
        <v>20</v>
      </c>
      <c r="C1004" s="2">
        <v>0.4</v>
      </c>
      <c r="D1004" s="2">
        <v>25</v>
      </c>
      <c r="E1004" s="2">
        <v>1</v>
      </c>
      <c r="F1004" s="2">
        <v>45</v>
      </c>
      <c r="G1004" s="2">
        <v>0.8</v>
      </c>
      <c r="H1004" s="2">
        <v>20</v>
      </c>
      <c r="I1004" s="2">
        <v>0</v>
      </c>
      <c r="J1004" s="2">
        <v>1</v>
      </c>
      <c r="K1004">
        <f t="shared" si="105"/>
        <v>33.227524315876146</v>
      </c>
      <c r="L1004">
        <f t="shared" si="106"/>
        <v>44.883503374470401</v>
      </c>
      <c r="M1004">
        <f t="shared" si="107"/>
        <v>8.6670010589271347E-6</v>
      </c>
      <c r="N1004">
        <f t="shared" si="108"/>
        <v>0.99999133299894116</v>
      </c>
      <c r="O1004">
        <f t="shared" si="109"/>
        <v>0.99999133299894116</v>
      </c>
      <c r="P1004">
        <f t="shared" si="110"/>
        <v>-8.6670386175081342E-6</v>
      </c>
    </row>
    <row r="1005" spans="1:16" x14ac:dyDescent="0.3">
      <c r="B1005"/>
      <c r="G1005"/>
      <c r="H1005"/>
    </row>
    <row r="1006" spans="1:16" x14ac:dyDescent="0.3">
      <c r="B1006"/>
      <c r="G1006"/>
      <c r="H1006"/>
    </row>
    <row r="1007" spans="1:16" x14ac:dyDescent="0.3">
      <c r="B1007"/>
      <c r="G1007"/>
      <c r="H1007"/>
    </row>
    <row r="1008" spans="1:16" x14ac:dyDescent="0.3">
      <c r="B1008"/>
      <c r="G1008"/>
      <c r="H1008"/>
    </row>
    <row r="1009" customFormat="1" x14ac:dyDescent="0.3"/>
  </sheetData>
  <mergeCells count="14">
    <mergeCell ref="P1:P4"/>
    <mergeCell ref="K1:L1"/>
    <mergeCell ref="M1:N1"/>
    <mergeCell ref="F1:H1"/>
    <mergeCell ref="B1:E1"/>
    <mergeCell ref="B4:H4"/>
    <mergeCell ref="I1:J1"/>
    <mergeCell ref="I2:I4"/>
    <mergeCell ref="J2:J4"/>
    <mergeCell ref="K2:K4"/>
    <mergeCell ref="L2:L4"/>
    <mergeCell ref="M2:M4"/>
    <mergeCell ref="N2:N4"/>
    <mergeCell ref="O1:O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55000072 xmlns="8bddca02-444c-4ee1-aed7-f9451c84c15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BE5E238C135B48B5F0858301BEE96C" ma:contentTypeVersion="9" ma:contentTypeDescription="Create a new document." ma:contentTypeScope="" ma:versionID="f3b5e285365e5c82a556397d2e7c5129">
  <xsd:schema xmlns:xsd="http://www.w3.org/2001/XMLSchema" xmlns:xs="http://www.w3.org/2001/XMLSchema" xmlns:p="http://schemas.microsoft.com/office/2006/metadata/properties" xmlns:ns2="8bddca02-444c-4ee1-aed7-f9451c84c15a" targetNamespace="http://schemas.microsoft.com/office/2006/metadata/properties" ma:root="true" ma:fieldsID="2c19c7e98eeda77311936ea980d14862" ns2:_="">
    <xsd:import namespace="8bddca02-444c-4ee1-aed7-f9451c84c15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P5500007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dca02-444c-4ee1-aed7-f9451c84c1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P55000072" ma:index="16" nillable="true" ma:displayName="P55000072" ma:format="Dropdown" ma:internalName="P55000072">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AA970F-A1B2-4852-B622-50636BBC0FD8}">
  <ds:schemaRefs>
    <ds:schemaRef ds:uri="http://schemas.microsoft.com/office/2006/metadata/properties"/>
    <ds:schemaRef ds:uri="http://schemas.microsoft.com/office/infopath/2007/PartnerControls"/>
    <ds:schemaRef ds:uri="8bddca02-444c-4ee1-aed7-f9451c84c15a"/>
  </ds:schemaRefs>
</ds:datastoreItem>
</file>

<file path=customXml/itemProps2.xml><?xml version="1.0" encoding="utf-8"?>
<ds:datastoreItem xmlns:ds="http://schemas.openxmlformats.org/officeDocument/2006/customXml" ds:itemID="{DDEE2AEB-7B16-4DD3-9F03-7432E4ADF544}">
  <ds:schemaRefs>
    <ds:schemaRef ds:uri="http://schemas.microsoft.com/sharepoint/v3/contenttype/forms"/>
  </ds:schemaRefs>
</ds:datastoreItem>
</file>

<file path=customXml/itemProps3.xml><?xml version="1.0" encoding="utf-8"?>
<ds:datastoreItem xmlns:ds="http://schemas.openxmlformats.org/officeDocument/2006/customXml" ds:itemID="{82A8A34C-7DC4-49EA-905A-140D5438F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dca02-444c-4ee1-aed7-f9451c84c1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Calibration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Revisione</dc:creator>
  <cp:keywords/>
  <dc:description/>
  <cp:lastModifiedBy>Iman Fatemi</cp:lastModifiedBy>
  <cp:revision/>
  <dcterms:created xsi:type="dcterms:W3CDTF">2024-11-19T07:44:54Z</dcterms:created>
  <dcterms:modified xsi:type="dcterms:W3CDTF">2025-02-20T14:46:23Z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d0b24d-6422-44b0-b3de-abb3a9e8c81a_Enabled">
    <vt:lpwstr>true</vt:lpwstr>
  </property>
  <property fmtid="{D5CDD505-2E9C-101B-9397-08002B2CF9AE}" pid="3" name="MSIP_Label_2ad0b24d-6422-44b0-b3de-abb3a9e8c81a_SetDate">
    <vt:lpwstr>2024-11-19T13:00:37Z</vt:lpwstr>
  </property>
  <property fmtid="{D5CDD505-2E9C-101B-9397-08002B2CF9AE}" pid="4" name="MSIP_Label_2ad0b24d-6422-44b0-b3de-abb3a9e8c81a_Method">
    <vt:lpwstr>Standard</vt:lpwstr>
  </property>
  <property fmtid="{D5CDD505-2E9C-101B-9397-08002B2CF9AE}" pid="5" name="MSIP_Label_2ad0b24d-6422-44b0-b3de-abb3a9e8c81a_Name">
    <vt:lpwstr>defa4170-0d19-0005-0004-bc88714345d2</vt:lpwstr>
  </property>
  <property fmtid="{D5CDD505-2E9C-101B-9397-08002B2CF9AE}" pid="6" name="MSIP_Label_2ad0b24d-6422-44b0-b3de-abb3a9e8c81a_SiteId">
    <vt:lpwstr>2fcfe26a-bb62-46b0-b1e3-28f9da0c45fd</vt:lpwstr>
  </property>
  <property fmtid="{D5CDD505-2E9C-101B-9397-08002B2CF9AE}" pid="7" name="MSIP_Label_2ad0b24d-6422-44b0-b3de-abb3a9e8c81a_ActionId">
    <vt:lpwstr>e1720c05-8d63-42f9-a98d-d7e5d0cb479f</vt:lpwstr>
  </property>
  <property fmtid="{D5CDD505-2E9C-101B-9397-08002B2CF9AE}" pid="8" name="MSIP_Label_2ad0b24d-6422-44b0-b3de-abb3a9e8c81a_ContentBits">
    <vt:lpwstr>0</vt:lpwstr>
  </property>
  <property fmtid="{D5CDD505-2E9C-101B-9397-08002B2CF9AE}" pid="9" name="ContentTypeId">
    <vt:lpwstr>0x0101008CBE5E238C135B48B5F0858301BEE96C</vt:lpwstr>
  </property>
</Properties>
</file>